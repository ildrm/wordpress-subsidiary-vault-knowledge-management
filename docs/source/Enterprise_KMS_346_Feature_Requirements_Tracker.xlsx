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1a99d67d1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841fc9df56645fe"/>
    <x:sheet xmlns:r="http://schemas.openxmlformats.org/officeDocument/2006/relationships" name="Requirements" sheetId="2" r:id="Rf73ee3c4d43c429f"/>
    <x:sheet xmlns:r="http://schemas.openxmlformats.org/officeDocument/2006/relationships" name="Modules" sheetId="3" r:id="Ra18d97ce82004d05"/>
    <x:sheet xmlns:r="http://schemas.openxmlformats.org/officeDocument/2006/relationships" name="Sources" sheetId="4" r:id="Rb57adad0b2f0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sz val="10"/>
      <x:color rgb="FF38566C"/>
      <x:name val="Carlito"/>
    </x:font>
    <x:font>
      <x:b/>
      <x:sz val="11"/>
      <x:color rgb="FF334155"/>
      <x:name val="Carlito"/>
    </x:font>
    <x:font>
      <x:b/>
      <x:sz val="14"/>
      <x:color rgb="FF0C5C89"/>
      <x:name val="Carlito"/>
    </x:font>
    <x:font>
      <x:b/>
      <x:sz val="11"/>
      <x:color rgb="FF7C4A03"/>
      <x:name val="Carlito"/>
    </x:font>
    <x:font>
      <x:sz val="11"/>
      <x:color rgb="FF48586A"/>
      <x:name val="Carlito"/>
    </x:font>
    <x:font>
      <x:sz val="11"/>
      <x:color rgb="FF52667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453"/>
      </x:patternFill>
    </x:fill>
    <x:fill>
      <x:patternFill patternType="solid">
        <x:fgColor rgb="FFEAF2F7"/>
      </x:patternFill>
    </x:fill>
    <x:fill>
      <x:patternFill patternType="solid">
        <x:fgColor rgb="FFF1F7FA"/>
      </x:patternFill>
    </x:fill>
    <x:fill>
      <x:patternFill patternType="solid">
        <x:fgColor rgb="FFFFF4DA"/>
      </x:patternFill>
    </x:fill>
    <x:fill>
      <x:patternFill patternType="solid">
        <x:fgColor rgb="FFF0F5F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/>
    </x:xf>
    <x:xf numFmtId="201" fontId="5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BF7E9"/>
        </x:patternFill>
      </x:fill>
    </x:dxf>
    <x:dxf>
      <x:font>
        <x:color rgb="FF9F1239"/>
      </x:font>
      <x:fill>
        <x:patternFill patternType="solid">
          <x:bgColor rgb="FFFFE1E1"/>
        </x:patternFill>
      </x:fill>
    </x:dxf>
    <x:dxf>
      <x:font>
        <x:color rgb="FF854D0E"/>
      </x:font>
      <x:fill>
        <x:patternFill patternType="solid">
          <x:bgColor rgb="FFFFF2CC"/>
        </x:patternFill>
      </x:fill>
    </x:dxf>
    <x:dxf>
      <x:fill>
        <x:patternFill patternType="solid">
          <x:bgColor rgb="FFE4F7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78d9d54c74a9a" /><Relationship Type="http://schemas.openxmlformats.org/officeDocument/2006/relationships/theme" Target="/xl/theme/theme1.xml" Id="R316250ae997d41f7" /><Relationship Type="http://schemas.openxmlformats.org/officeDocument/2006/relationships/sharedStrings" Target="/xl/sharedStrings.xml" Id="Rda674811043a43c5" /><Relationship Type="http://schemas.openxmlformats.org/officeDocument/2006/relationships/worksheet" Target="/xl/worksheets/sheet1.xml" Id="Re841fc9df56645fe" /><Relationship Type="http://schemas.openxmlformats.org/officeDocument/2006/relationships/worksheet" Target="/xl/worksheets/sheet2.xml" Id="Rf73ee3c4d43c429f" /><Relationship Type="http://schemas.openxmlformats.org/officeDocument/2006/relationships/worksheet" Target="/xl/worksheets/sheet3.xml" Id="Ra18d97ce82004d05" /><Relationship Type="http://schemas.openxmlformats.org/officeDocument/2006/relationships/worksheet" Target="/xl/worksheets/sheet4.xml" Id="Rb57adad0b2f04655" /></Relationships>
</file>

<file path=xl/tables/table1.xml><?xml version="1.0" encoding="utf-8"?>
<x:table xmlns:x="http://schemas.openxmlformats.org/spreadsheetml/2006/main" id="1" name="KMSRequirements" displayName="KMSRequirements" ref="A1:L347" headerRowCount="1" totalsRowCount="0" totalsRowShown="0">
  <x:tableColumns count="12">
    <x:tableColumn id="1" name="ID"/>
    <x:tableColumn id="2" name="Module"/>
    <x:tableColumn id="3" name="Feature"/>
    <x:tableColumn id="4" name="Functional behavior"/>
    <x:tableColumn id="5" name="Security &amp; policy constraints"/>
    <x:tableColumn id="6" name="Acceptance / verification test"/>
    <x:tableColumn id="7" name="Priority"/>
    <x:tableColumn id="8" name="Release"/>
    <x:tableColumn id="9" name="Status"/>
    <x:tableColumn id="10" name="Owner"/>
    <x:tableColumn id="11" name="Dependencie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MSModules" displayName="KMSModules" ref="A1:L23" headerRowCount="1" totalsRowCount="0" totalsRowShown="0">
  <x:tableColumns count="12">
    <x:tableColumn id="1" name="Code"/>
    <x:tableColumn id="2" name="Module"/>
    <x:tableColumn id="3" name="Purpose"/>
    <x:tableColumn id="4" name="Features"/>
    <x:tableColumn id="5" name="Must"/>
    <x:tableColumn id="6" name="Should"/>
    <x:tableColumn id="7" name="Advanced"/>
    <x:tableColumn id="8" name="Core"/>
    <x:tableColumn id="9" name="Enterprise"/>
    <x:tableColumn id="10" name="Expansion"/>
    <x:tableColumn id="11" name="Completed"/>
    <x:tableColumn id="12" name="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MSSources" displayName="KMSSources" ref="A1:B22" headerRowCount="1" totalsRowCount="0" totalsRowShown="0">
  <x:tableColumns count="2">
    <x:tableColumn id="1" name="Source / reference"/>
    <x:tableColumn id="2" name="Official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d35c95df3446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3c4c4d000f49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0e45e66582400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16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7" customHeight="1">
      <x:c r="A1" s="15" t="str">
        <x:v>Enterprise KMS / DMS — Requirements Dashboard</x:v>
      </x:c>
      <x:c r="B1" s="15"/>
      <x:c r="C1" s="15"/>
      <x:c r="D1" s="15"/>
      <x:c r="E1" s="15"/>
      <x:c r="F1" s="15"/>
      <x:c r="G1" s="15"/>
      <x:c r="H1" s="15"/>
    </x:row>
    <x:row r="2" ht="27" customHeight="1">
      <x:c r="A2" s="15"/>
      <x:c r="B2" s="15"/>
      <x:c r="C2" s="15"/>
      <x:c r="D2" s="15"/>
      <x:c r="E2" s="15"/>
      <x:c r="F2" s="15"/>
      <x:c r="G2" s="15"/>
      <x:c r="H2" s="15"/>
    </x:row>
    <x:row r="3" ht="27" customHeight="1">
      <x:c r="A3" s="19" t="str">
        <x:v>346 individually testable features · 22 modules · 13 languages · designed for multi-subsidiary independence</x:v>
      </x:c>
      <x:c r="B3" s="19"/>
      <x:c r="C3" s="19"/>
      <x:c r="D3" s="19"/>
      <x:c r="E3" s="19"/>
      <x:c r="F3" s="19"/>
      <x:c r="G3" s="19"/>
      <x:c r="H3" s="19"/>
    </x:row>
    <x:row r="5">
      <x:c r="A5" s="22" t="str">
        <x:v>Total features</x:v>
      </x:c>
      <x:c r="B5" s="26" t="n">
        <x:f>COUNTA(Requirements!A2:A347)</x:f>
        <x:v>346</x:v>
      </x:c>
      <x:c r="D5" s="22" t="str">
        <x:v>Must-have features</x:v>
      </x:c>
      <x:c r="E5" s="26" t="n">
        <x:f>COUNTIF(Requirements!G2:G347,"Must")</x:f>
        <x:v>140</x:v>
      </x:c>
    </x:row>
    <x:row r="6">
      <x:c r="A6" s="22" t="str">
        <x:v>Core release</x:v>
      </x:c>
      <x:c r="B6" s="26" t="n">
        <x:f>COUNTIF(Requirements!H2:H347,"Core")</x:f>
        <x:v>140</x:v>
      </x:c>
      <x:c r="D6" s="22" t="str">
        <x:v>Enterprise release</x:v>
      </x:c>
      <x:c r="E6" s="26" t="n">
        <x:f>COUNTIF(Requirements!H2:H347,"Enterprise")</x:f>
        <x:v>175</x:v>
      </x:c>
    </x:row>
    <x:row r="7">
      <x:c r="A7" s="22" t="str">
        <x:v>Done</x:v>
      </x:c>
      <x:c r="B7" s="26" t="n">
        <x:f>COUNTIF(Requirements!I2:I347,"Done")</x:f>
        <x:v>0</x:v>
      </x:c>
      <x:c r="D7" s="22" t="str">
        <x:v>Blocked</x:v>
      </x:c>
      <x:c r="E7" s="26" t="n">
        <x:f>COUNTIF(Requirements!I2:I347,"Blocked")</x:f>
        <x:v>0</x:v>
      </x:c>
    </x:row>
    <x:row r="8">
      <x:c r="A8" s="22" t="str">
        <x:v>Completion</x:v>
      </x:c>
      <x:c r="B8" s="30" t="n">
        <x:f>IFERROR(B7/B5,0)</x:f>
        <x:v>0</x:v>
      </x:c>
      <x:c r="D8" s="22" t="str">
        <x:v>Expansion features</x:v>
      </x:c>
      <x:c r="E8" s="26" t="n">
        <x:f>COUNTIF(Requirements!H2:H347,"Expansion")</x:f>
        <x:v>31</x:v>
      </x:c>
    </x:row>
    <x:row r="10" ht="29" customHeight="1">
      <x:c r="A10" s="3" t="str">
        <x:v>Code</x:v>
      </x:c>
      <x:c r="B10" s="3" t="str">
        <x:v>Module</x:v>
      </x:c>
      <x:c r="C10" s="3" t="str">
        <x:v>Features</x:v>
      </x:c>
      <x:c r="D10" s="3" t="str">
        <x:v>Must</x:v>
      </x:c>
      <x:c r="E10" s="3" t="str">
        <x:v>Core</x:v>
      </x:c>
      <x:c r="F10" s="3" t="str">
        <x:v>Done</x:v>
      </x:c>
      <x:c r="G10" s="3" t="str">
        <x:v>Progress</x:v>
      </x:c>
    </x:row>
    <x:row r="11" ht="24" customHeight="1">
      <x:c r="A11" t="str">
        <x:f>Modules!A2</x:f>
        <x:v>TEN</x:v>
      </x:c>
      <x:c r="B11" t="str">
        <x:f>Modules!B2</x:f>
        <x:v>Holding-company structure and tenant isolation</x:v>
      </x:c>
      <x:c r="C11" t="n">
        <x:f>Modules!D2</x:f>
        <x:v>14</x:v>
      </x:c>
      <x:c r="D11" t="n">
        <x:f>Modules!E2</x:f>
        <x:v>7</x:v>
      </x:c>
      <x:c r="E11" t="n">
        <x:f>Modules!H2</x:f>
        <x:v>7</x:v>
      </x:c>
      <x:c r="F11" t="n">
        <x:f>Modules!K2</x:f>
        <x:v>0</x:v>
      </x:c>
      <x:c r="G11" s="32" t="n">
        <x:f>Modules!L2</x:f>
        <x:v>0</x:v>
      </x:c>
    </x:row>
    <x:row r="12" ht="24" customHeight="1">
      <x:c r="A12" t="str">
        <x:f>Modules!A3</x:f>
        <x:v>IAM</x:v>
      </x:c>
      <x:c r="B12" t="str">
        <x:f>Modules!B3</x:f>
        <x:v>Identity, membership, roles and authorization</x:v>
      </x:c>
      <x:c r="C12" t="n">
        <x:f>Modules!D3</x:f>
        <x:v>17</x:v>
      </x:c>
      <x:c r="D12" t="n">
        <x:f>Modules!E3</x:f>
        <x:v>9</x:v>
      </x:c>
      <x:c r="E12" t="n">
        <x:f>Modules!H3</x:f>
        <x:v>9</x:v>
      </x:c>
      <x:c r="F12" t="n">
        <x:f>Modules!K3</x:f>
        <x:v>0</x:v>
      </x:c>
      <x:c r="G12" s="32" t="n">
        <x:f>Modules!L3</x:f>
        <x:v>0</x:v>
      </x:c>
    </x:row>
    <x:row r="13" ht="24" customHeight="1">
      <x:c r="A13" t="str">
        <x:f>Modules!A4</x:f>
        <x:v>AUT</x:v>
      </x:c>
      <x:c r="B13" t="str">
        <x:f>Modules!B4</x:f>
        <x:v>Authentication, sessions and trusted devices</x:v>
      </x:c>
      <x:c r="C13" t="n">
        <x:f>Modules!D4</x:f>
        <x:v>13</x:v>
      </x:c>
      <x:c r="D13" t="n">
        <x:f>Modules!E4</x:f>
        <x:v>7</x:v>
      </x:c>
      <x:c r="E13" t="n">
        <x:f>Modules!H4</x:f>
        <x:v>7</x:v>
      </x:c>
      <x:c r="F13" t="n">
        <x:f>Modules!K4</x:f>
        <x:v>0</x:v>
      </x:c>
      <x:c r="G13" s="32" t="n">
        <x:f>Modules!L4</x:f>
        <x:v>0</x:v>
      </x:c>
    </x:row>
    <x:row r="14" ht="24" customHeight="1">
      <x:c r="A14" t="str">
        <x:f>Modules!A5</x:f>
        <x:v>DOC</x:v>
      </x:c>
      <x:c r="B14" t="str">
        <x:f>Modules!B5</x:f>
        <x:v>Document capture, storage and lifecycle</x:v>
      </x:c>
      <x:c r="C14" t="n">
        <x:f>Modules!D5</x:f>
        <x:v>22</x:v>
      </x:c>
      <x:c r="D14" t="n">
        <x:f>Modules!E5</x:f>
        <x:v>11</x:v>
      </x:c>
      <x:c r="E14" t="n">
        <x:f>Modules!H5</x:f>
        <x:v>11</x:v>
      </x:c>
      <x:c r="F14" t="n">
        <x:f>Modules!K5</x:f>
        <x:v>0</x:v>
      </x:c>
      <x:c r="G14" s="32" t="n">
        <x:f>Modules!L5</x:f>
        <x:v>0</x:v>
      </x:c>
    </x:row>
    <x:row r="15" ht="24" customHeight="1">
      <x:c r="A15" t="str">
        <x:f>Modules!A6</x:f>
        <x:v>MET</x:v>
      </x:c>
      <x:c r="B15" t="str">
        <x:f>Modules!B6</x:f>
        <x:v>Metadata, taxonomy and information discovery</x:v>
      </x:c>
      <x:c r="C15" t="n">
        <x:f>Modules!D6</x:f>
        <x:v>16</x:v>
      </x:c>
      <x:c r="D15" t="n">
        <x:f>Modules!E6</x:f>
        <x:v>5</x:v>
      </x:c>
      <x:c r="E15" t="n">
        <x:f>Modules!H6</x:f>
        <x:v>5</x:v>
      </x:c>
      <x:c r="F15" t="n">
        <x:f>Modules!K6</x:f>
        <x:v>0</x:v>
      </x:c>
      <x:c r="G15" s="32" t="n">
        <x:f>Modules!L6</x:f>
        <x:v>0</x:v>
      </x:c>
    </x:row>
    <x:row r="16" ht="24" customHeight="1">
      <x:c r="A16" t="str">
        <x:f>Modules!A7</x:f>
        <x:v>COL</x:v>
      </x:c>
      <x:c r="B16" t="str">
        <x:f>Modules!B7</x:f>
        <x:v>Editing, collaboration and version control</x:v>
      </x:c>
      <x:c r="C16" t="n">
        <x:f>Modules!D7</x:f>
        <x:v>16</x:v>
      </x:c>
      <x:c r="D16" t="n">
        <x:f>Modules!E7</x:f>
        <x:v>5</x:v>
      </x:c>
      <x:c r="E16" t="n">
        <x:f>Modules!H7</x:f>
        <x:v>5</x:v>
      </x:c>
      <x:c r="F16" t="n">
        <x:f>Modules!K7</x:f>
        <x:v>0</x:v>
      </x:c>
      <x:c r="G16" s="32" t="n">
        <x:f>Modules!L7</x:f>
        <x:v>0</x:v>
      </x:c>
    </x:row>
    <x:row r="17" ht="24" customHeight="1">
      <x:c r="A17" t="str">
        <x:f>Modules!A8</x:f>
        <x:v>KNO</x:v>
      </x:c>
      <x:c r="B17" t="str">
        <x:f>Modules!B8</x:f>
        <x:v>Knowledge base, wiki and organizational learning</x:v>
      </x:c>
      <x:c r="C17" t="n">
        <x:f>Modules!D8</x:f>
        <x:v>16</x:v>
      </x:c>
      <x:c r="D17" t="n">
        <x:f>Modules!E8</x:f>
        <x:v>4</x:v>
      </x:c>
      <x:c r="E17" t="n">
        <x:f>Modules!H8</x:f>
        <x:v>4</x:v>
      </x:c>
      <x:c r="F17" t="n">
        <x:f>Modules!K8</x:f>
        <x:v>0</x:v>
      </x:c>
      <x:c r="G17" s="32" t="n">
        <x:f>Modules!L8</x:f>
        <x:v>0</x:v>
      </x:c>
    </x:row>
    <x:row r="18" ht="24" customHeight="1">
      <x:c r="A18" t="str">
        <x:f>Modules!A9</x:f>
        <x:v>WFL</x:v>
      </x:c>
      <x:c r="B18" t="str">
        <x:f>Modules!B9</x:f>
        <x:v>Workflow engine, approvals and business process automation</x:v>
      </x:c>
      <x:c r="C18" t="n">
        <x:f>Modules!D9</x:f>
        <x:v>19</x:v>
      </x:c>
      <x:c r="D18" t="n">
        <x:f>Modules!E9</x:f>
        <x:v>4</x:v>
      </x:c>
      <x:c r="E18" t="n">
        <x:f>Modules!H9</x:f>
        <x:v>4</x:v>
      </x:c>
      <x:c r="F18" t="n">
        <x:f>Modules!K9</x:f>
        <x:v>0</x:v>
      </x:c>
      <x:c r="G18" s="32" t="n">
        <x:f>Modules!L9</x:f>
        <x:v>0</x:v>
      </x:c>
    </x:row>
    <x:row r="19" ht="24" customHeight="1">
      <x:c r="A19" t="str">
        <x:f>Modules!A10</x:f>
        <x:v>REC</x:v>
      </x:c>
      <x:c r="B19" t="str">
        <x:f>Modules!B10</x:f>
        <x:v>Records governance, retention, legal hold and eDiscovery</x:v>
      </x:c>
      <x:c r="C19" t="n">
        <x:f>Modules!D10</x:f>
        <x:v>18</x:v>
      </x:c>
      <x:c r="D19" t="n">
        <x:f>Modules!E10</x:f>
        <x:v>5</x:v>
      </x:c>
      <x:c r="E19" t="n">
        <x:f>Modules!H10</x:f>
        <x:v>5</x:v>
      </x:c>
      <x:c r="F19" t="n">
        <x:f>Modules!K10</x:f>
        <x:v>0</x:v>
      </x:c>
      <x:c r="G19" s="32" t="n">
        <x:f>Modules!L10</x:f>
        <x:v>0</x:v>
      </x:c>
    </x:row>
    <x:row r="20" ht="24" customHeight="1">
      <x:c r="A20" t="str">
        <x:f>Modules!A11</x:f>
        <x:v>ENC</x:v>
      </x:c>
      <x:c r="B20" t="str">
        <x:f>Modules!B11</x:f>
        <x:v>Cryptography, zero-knowledge mode and key management</x:v>
      </x:c>
      <x:c r="C20" t="n">
        <x:f>Modules!D11</x:f>
        <x:v>20</x:v>
      </x:c>
      <x:c r="D20" t="n">
        <x:f>Modules!E11</x:f>
        <x:v>15</x:v>
      </x:c>
      <x:c r="E20" t="n">
        <x:f>Modules!H11</x:f>
        <x:v>15</x:v>
      </x:c>
      <x:c r="F20" t="n">
        <x:f>Modules!K11</x:f>
        <x:v>0</x:v>
      </x:c>
      <x:c r="G20" s="32" t="n">
        <x:f>Modules!L11</x:f>
        <x:v>0</x:v>
      </x:c>
    </x:row>
    <x:row r="21" ht="24" customHeight="1">
      <x:c r="A21" t="str">
        <x:f>Modules!A12</x:f>
        <x:v>SEC</x:v>
      </x:c>
      <x:c r="B21" t="str">
        <x:f>Modules!B12</x:f>
        <x:v>Security operations, DLP and active threat defense</x:v>
      </x:c>
      <x:c r="C21" t="n">
        <x:f>Modules!D12</x:f>
        <x:v>16</x:v>
      </x:c>
      <x:c r="D21" t="n">
        <x:f>Modules!E12</x:f>
        <x:v>9</x:v>
      </x:c>
      <x:c r="E21" t="n">
        <x:f>Modules!H12</x:f>
        <x:v>9</x:v>
      </x:c>
      <x:c r="F21" t="n">
        <x:f>Modules!K12</x:f>
        <x:v>0</x:v>
      </x:c>
      <x:c r="G21" s="32" t="n">
        <x:f>Modules!L12</x:f>
        <x:v>0</x:v>
      </x:c>
    </x:row>
    <x:row r="22" ht="24" customHeight="1">
      <x:c r="A22" t="str">
        <x:f>Modules!A13</x:f>
        <x:v>EXT</x:v>
      </x:c>
      <x:c r="B22" t="str">
        <x:f>Modules!B13</x:f>
        <x:v>External collaboration and secure information exchange</x:v>
      </x:c>
      <x:c r="C22" t="n">
        <x:f>Modules!D13</x:f>
        <x:v>13</x:v>
      </x:c>
      <x:c r="D22" t="n">
        <x:f>Modules!E13</x:f>
        <x:v>4</x:v>
      </x:c>
      <x:c r="E22" t="n">
        <x:f>Modules!H13</x:f>
        <x:v>4</x:v>
      </x:c>
      <x:c r="F22" t="n">
        <x:f>Modules!K13</x:f>
        <x:v>0</x:v>
      </x:c>
      <x:c r="G22" s="32" t="n">
        <x:f>Modules!L13</x:f>
        <x:v>0</x:v>
      </x:c>
    </x:row>
    <x:row r="23" ht="24" customHeight="1">
      <x:c r="A23" t="str">
        <x:f>Modules!A14</x:f>
        <x:v>RPT</x:v>
      </x:c>
      <x:c r="B23" t="str">
        <x:f>Modules!B14</x:f>
        <x:v>Audit trails, reporting, analytics and oversight</x:v>
      </x:c>
      <x:c r="C23" t="n">
        <x:f>Modules!D14</x:f>
        <x:v>14</x:v>
      </x:c>
      <x:c r="D23" t="n">
        <x:f>Modules!E14</x:f>
        <x:v>5</x:v>
      </x:c>
      <x:c r="E23" t="n">
        <x:f>Modules!H14</x:f>
        <x:v>5</x:v>
      </x:c>
      <x:c r="F23" t="n">
        <x:f>Modules!K14</x:f>
        <x:v>0</x:v>
      </x:c>
      <x:c r="G23" s="32" t="n">
        <x:f>Modules!L14</x:f>
        <x:v>0</x:v>
      </x:c>
    </x:row>
    <x:row r="24" ht="24" customHeight="1">
      <x:c r="A24" t="str">
        <x:f>Modules!A15</x:f>
        <x:v>AIX</x:v>
      </x:c>
      <x:c r="B24" t="str">
        <x:f>Modules!B15</x:f>
        <x:v>Privacy-aware AI, intelligence and automation</x:v>
      </x:c>
      <x:c r="C24" t="n">
        <x:f>Modules!D15</x:f>
        <x:v>17</x:v>
      </x:c>
      <x:c r="D24" t="n">
        <x:f>Modules!E15</x:f>
        <x:v>3</x:v>
      </x:c>
      <x:c r="E24" t="n">
        <x:f>Modules!H15</x:f>
        <x:v>3</x:v>
      </x:c>
      <x:c r="F24" t="n">
        <x:f>Modules!K15</x:f>
        <x:v>0</x:v>
      </x:c>
      <x:c r="G24" s="32" t="n">
        <x:f>Modules!L15</x:f>
        <x:v>0</x:v>
      </x:c>
    </x:row>
    <x:row r="25" ht="24" customHeight="1">
      <x:c r="A25" t="str">
        <x:f>Modules!A16</x:f>
        <x:v>L10</x:v>
      </x:c>
      <x:c r="B25" t="str">
        <x:f>Modules!B16</x:f>
        <x:v>Internationalization, languages and accessibility</x:v>
      </x:c>
      <x:c r="C25" t="n">
        <x:f>Modules!D16</x:f>
        <x:v>15</x:v>
      </x:c>
      <x:c r="D25" t="n">
        <x:f>Modules!E16</x:f>
        <x:v>11</x:v>
      </x:c>
      <x:c r="E25" t="n">
        <x:f>Modules!H16</x:f>
        <x:v>11</x:v>
      </x:c>
      <x:c r="F25" t="n">
        <x:f>Modules!K16</x:f>
        <x:v>0</x:v>
      </x:c>
      <x:c r="G25" s="32" t="n">
        <x:f>Modules!L16</x:f>
        <x:v>0</x:v>
      </x:c>
    </x:row>
    <x:row r="26" ht="24" customHeight="1">
      <x:c r="A26" t="str">
        <x:f>Modules!A17</x:f>
        <x:v>API</x:v>
      </x:c>
      <x:c r="B26" t="str">
        <x:f>Modules!B17</x:f>
        <x:v>Integrations, APIs, automation and interoperability</x:v>
      </x:c>
      <x:c r="C26" t="n">
        <x:f>Modules!D17</x:f>
        <x:v>17</x:v>
      </x:c>
      <x:c r="D26" t="n">
        <x:f>Modules!E17</x:f>
        <x:v>4</x:v>
      </x:c>
      <x:c r="E26" t="n">
        <x:f>Modules!H17</x:f>
        <x:v>4</x:v>
      </x:c>
      <x:c r="F26" t="n">
        <x:f>Modules!K17</x:f>
        <x:v>0</x:v>
      </x:c>
      <x:c r="G26" s="32" t="n">
        <x:f>Modules!L17</x:f>
        <x:v>0</x:v>
      </x:c>
    </x:row>
    <x:row r="27" ht="24" customHeight="1">
      <x:c r="A27" t="str">
        <x:f>Modules!A18</x:f>
        <x:v>UX</x:v>
      </x:c>
      <x:c r="B27" t="str">
        <x:f>Modules!B18</x:f>
        <x:v>Experience, productivity and configurable workspaces</x:v>
      </x:c>
      <x:c r="C27" t="n">
        <x:f>Modules!D18</x:f>
        <x:v>13</x:v>
      </x:c>
      <x:c r="D27" t="n">
        <x:f>Modules!E18</x:f>
        <x:v>4</x:v>
      </x:c>
      <x:c r="E27" t="n">
        <x:f>Modules!H18</x:f>
        <x:v>4</x:v>
      </x:c>
      <x:c r="F27" t="n">
        <x:f>Modules!K18</x:f>
        <x:v>0</x:v>
      </x:c>
      <x:c r="G27" s="32" t="n">
        <x:f>Modules!L18</x:f>
        <x:v>0</x:v>
      </x:c>
    </x:row>
    <x:row r="28" ht="24" customHeight="1">
      <x:c r="A28" t="str">
        <x:f>Modules!A19</x:f>
        <x:v>MOB</x:v>
      </x:c>
      <x:c r="B28" t="str">
        <x:f>Modules!B19</x:f>
        <x:v>Mobile, desktop, offline and endpoint experience</x:v>
      </x:c>
      <x:c r="C28" t="n">
        <x:f>Modules!D19</x:f>
        <x:v>12</x:v>
      </x:c>
      <x:c r="D28" t="n">
        <x:f>Modules!E19</x:f>
        <x:v>4</x:v>
      </x:c>
      <x:c r="E28" t="n">
        <x:f>Modules!H19</x:f>
        <x:v>4</x:v>
      </x:c>
      <x:c r="F28" t="n">
        <x:f>Modules!K19</x:f>
        <x:v>0</x:v>
      </x:c>
      <x:c r="G28" s="32" t="n">
        <x:f>Modules!L19</x:f>
        <x:v>0</x:v>
      </x:c>
    </x:row>
    <x:row r="29" ht="24" customHeight="1">
      <x:c r="A29" t="str">
        <x:f>Modules!A20</x:f>
        <x:v>PRV</x:v>
      </x:c>
      <x:c r="B29" t="str">
        <x:f>Modules!B20</x:f>
        <x:v>Privacy, compliance, residency and lawful processing</x:v>
      </x:c>
      <x:c r="C29" t="n">
        <x:f>Modules!D20</x:f>
        <x:v>14</x:v>
      </x:c>
      <x:c r="D29" t="n">
        <x:f>Modules!E20</x:f>
        <x:v>4</x:v>
      </x:c>
      <x:c r="E29" t="n">
        <x:f>Modules!H20</x:f>
        <x:v>4</x:v>
      </x:c>
      <x:c r="F29" t="n">
        <x:f>Modules!K20</x:f>
        <x:v>0</x:v>
      </x:c>
      <x:c r="G29" s="32" t="n">
        <x:f>Modules!L20</x:f>
        <x:v>0</x:v>
      </x:c>
    </x:row>
    <x:row r="30" ht="24" customHeight="1">
      <x:c r="A30" t="str">
        <x:f>Modules!A21</x:f>
        <x:v>OPS</x:v>
      </x:c>
      <x:c r="B30" t="str">
        <x:f>Modules!B21</x:f>
        <x:v>Reliability, deployment, operations and quality engineering</x:v>
      </x:c>
      <x:c r="C30" t="n">
        <x:f>Modules!D21</x:f>
        <x:v>21</x:v>
      </x:c>
      <x:c r="D30" t="n">
        <x:f>Modules!E21</x:f>
        <x:v>14</x:v>
      </x:c>
      <x:c r="E30" t="n">
        <x:f>Modules!H21</x:f>
        <x:v>14</x:v>
      </x:c>
      <x:c r="F30" t="n">
        <x:f>Modules!K21</x:f>
        <x:v>0</x:v>
      </x:c>
      <x:c r="G30" s="32" t="n">
        <x:f>Modules!L21</x:f>
        <x:v>0</x:v>
      </x:c>
    </x:row>
    <x:row r="31" ht="24" customHeight="1">
      <x:c r="A31" t="str">
        <x:f>Modules!A22</x:f>
        <x:v>MIG</x:v>
      </x:c>
      <x:c r="B31" t="str">
        <x:f>Modules!B22</x:f>
        <x:v>Onboarding, migration, adoption and support</x:v>
      </x:c>
      <x:c r="C31" t="n">
        <x:f>Modules!D22</x:f>
        <x:v>13</x:v>
      </x:c>
      <x:c r="D31" t="n">
        <x:f>Modules!E22</x:f>
        <x:v>6</x:v>
      </x:c>
      <x:c r="E31" t="n">
        <x:f>Modules!H22</x:f>
        <x:v>6</x:v>
      </x:c>
      <x:c r="F31" t="n">
        <x:f>Modules!K22</x:f>
        <x:v>0</x:v>
      </x:c>
      <x:c r="G31" s="32" t="n">
        <x:f>Modules!L22</x:f>
        <x:v>0</x:v>
      </x:c>
    </x:row>
    <x:row r="32" ht="24" customHeight="1">
      <x:c r="A32" t="str">
        <x:f>Modules!A23</x:f>
        <x:v>VRP</x:v>
      </x:c>
      <x:c r="B32" t="str">
        <x:f>Modules!B23</x:f>
        <x:v>Specialized enterprise modules and future differentiation</x:v>
      </x:c>
      <x:c r="C32" t="n">
        <x:f>Modules!D23</x:f>
        <x:v>10</x:v>
      </x:c>
      <x:c r="D32" t="n">
        <x:f>Modules!E23</x:f>
        <x:v>0</x:v>
      </x:c>
      <x:c r="E32" t="n">
        <x:f>Modules!H23</x:f>
        <x:v>0</x:v>
      </x:c>
      <x:c r="F32" t="n">
        <x:f>Modules!K23</x:f>
        <x:v>0</x:v>
      </x:c>
      <x:c r="G32" s="32" t="n">
        <x:f>Modules!L23</x:f>
        <x:v>0</x:v>
      </x:c>
    </x:row>
    <x:row r="35" ht="29" customHeight="1">
      <x:c r="A35" s="35" t="str">
        <x:v>SECURITY NOTE · Zero-Knowledge Mode requires independent trusted clients and independently verified key distribution.</x:v>
      </x:c>
      <x:c r="B35" s="35"/>
      <x:c r="C35" s="35"/>
      <x:c r="D35" s="35"/>
      <x:c r="E35" s="35"/>
      <x:c r="F35" s="35"/>
      <x:c r="G35" s="35"/>
    </x:row>
    <x:row r="36" ht="27" customHeight="1">
      <x:c r="A36" s="39" t="str">
        <x:v>PLAN NOTE · A feature list is not a security certification or a promise of a flaw-free deployment.</x:v>
      </x:c>
      <x:c r="B36" s="39"/>
      <x:c r="C36" s="39"/>
      <x:c r="D36" s="39"/>
      <x:c r="E36" s="39"/>
      <x:c r="F36" s="39"/>
      <x:c r="G36" s="39"/>
    </x:row>
    <x:row r="38">
      <x:c r="A38" s="42" t="str">
        <x:v>Edit Status, Owner, Dependencies and Notes in the Requirements sheet. Module and dashboard counts recalculate.</x:v>
      </x:c>
      <x:c r="B38" s="42"/>
      <x:c r="C38" s="42"/>
      <x:c r="D38" s="42"/>
      <x:c r="E38" s="42"/>
      <x:c r="F38" s="42"/>
      <x:c r="G38" s="42"/>
    </x:row>
  </x:sheetData>
  <x:mergeCells>
    <x:mergeCell ref="A1:H2"/>
    <x:mergeCell ref="A3:H3"/>
    <x:mergeCell ref="A35:G35"/>
    <x:mergeCell ref="A36:G36"/>
    <x:mergeCell ref="A38:G38"/>
  </x:mergeCells>
  <x:conditionalFormatting sqref="A11:G32">
    <x:cfRule type="expression" dxfId="3" priority="1">
      <x:formula>$G11=1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76" hidden="0" customWidth="1"/>
    <x:col min="5" max="5" width="76" hidden="0" customWidth="1"/>
    <x:col min="6" max="6" width="76" hidden="0" customWidth="1"/>
    <x:col min="7" max="7" width="14" hidden="0" customWidth="1"/>
    <x:col min="8" max="8" width="15" hidden="0" customWidth="1"/>
    <x:col min="9" max="9" width="18" hidden="0" customWidth="1"/>
    <x:col min="10" max="10" width="20" hidden="0" customWidth="1"/>
    <x:col min="11" max="11" width="24" hidden="0" customWidth="1"/>
    <x:col min="12" max="12" width="35" hidden="0" customWidth="1"/>
  </x:cols>
  <x:sheetData>
    <x:row r="1" ht="30" customHeight="1">
      <x:c r="A1" s="4" t="str">
        <x:v>ID</x:v>
      </x:c>
      <x:c r="B1" s="4" t="str">
        <x:v>Module</x:v>
      </x:c>
      <x:c r="C1" s="4" t="str">
        <x:v>Feature</x:v>
      </x:c>
      <x:c r="D1" s="4" t="str">
        <x:v>Functional behavior</x:v>
      </x:c>
      <x:c r="E1" s="4" t="str">
        <x:v>Security &amp; policy constraints</x:v>
      </x:c>
      <x:c r="F1" s="4" t="str">
        <x:v>Acceptance / verification test</x:v>
      </x:c>
      <x:c r="G1" s="4" t="str">
        <x:v>Priority</x:v>
      </x:c>
      <x:c r="H1" s="4" t="str">
        <x:v>Release</x:v>
      </x:c>
      <x:c r="I1" s="4" t="str">
        <x:v>Status</x:v>
      </x:c>
      <x:c r="J1" s="4" t="str">
        <x:v>Owner</x:v>
      </x:c>
      <x:c r="K1" s="4" t="str">
        <x:v>Dependencies</x:v>
      </x:c>
      <x:c r="L1" s="4" t="str">
        <x:v>Notes</x:v>
      </x:c>
    </x:row>
    <x:row r="2" ht="54" customHeight="1">
      <x:c r="A2" s="10" t="str">
        <x:v>TEN-01</x:v>
      </x:c>
      <x:c r="B2" s="10" t="str">
        <x:v>Holding-company structure and tenant isolation</x:v>
      </x:c>
      <x:c r="C2" s="10" t="str">
        <x:v>Holding-company hierarchy</x:v>
      </x:c>
      <x:c r="D2" s="10" t="str">
        <x:v>Model parent holding company, subsidiaries, divisions, departments, teams and optional project workspaces; support future nested groups without changing authorization semantics.</x:v>
      </x:c>
      <x:c r="E2" s="10" t="str">
        <x:v>Relationships are scoped; no subsidiary inherits another subsidiary's members or data.</x:v>
      </x:c>
      <x:c r="F2" s="10" t="str">
        <x:v>Create a group with 10 subsidiaries and verify independent organizational trees and document inventories.</x:v>
      </x:c>
      <x:c r="G2" s="10" t="str">
        <x:v>Must</x:v>
      </x:c>
      <x:c r="H2" s="10" t="str">
        <x:v>Core</x:v>
      </x:c>
      <x:c r="I2" s="10" t="str">
        <x:v>Not started</x:v>
      </x:c>
      <x:c r="J2" s="10" t="str"/>
      <x:c r="K2" s="10" t="str"/>
      <x:c r="L2" s="10" t="str"/>
    </x:row>
    <x:row r="3" ht="54" customHeight="1">
      <x:c r="A3" s="10" t="str">
        <x:v>TEN-02</x:v>
      </x:c>
      <x:c r="B3" s="10" t="str">
        <x:v>Holding-company structure and tenant isolation</x:v>
      </x:c>
      <x:c r="C3" s="10" t="str">
        <x:v>Tenant provisioning</x:v>
      </x:c>
      <x:c r="D3" s="10" t="str">
        <x:v>Create a subsidiary from a policy template, assign administrators, select storage residency, branding, default taxonomy and encryption mode.</x:v>
      </x:c>
      <x:c r="E3" s="10" t="str">
        <x:v>Provisioning is idempotent and cannot reuse a retired tenant's identifiers or keys.</x:v>
      </x:c>
      <x:c r="F3" s="10" t="str">
        <x:v>A new subsidiary is operational with its own administrators and an empty private repository.</x:v>
      </x:c>
      <x:c r="G3" s="10" t="str">
        <x:v>Must</x:v>
      </x:c>
      <x:c r="H3" s="10" t="str">
        <x:v>Core</x:v>
      </x:c>
      <x:c r="I3" s="10" t="str">
        <x:v>Not started</x:v>
      </x:c>
      <x:c r="J3" s="10" t="str"/>
      <x:c r="K3" s="10" t="str"/>
      <x:c r="L3" s="10" t="str"/>
    </x:row>
    <x:row r="4" ht="54" customHeight="1">
      <x:c r="A4" s="10" t="str">
        <x:v>TEN-03</x:v>
      </x:c>
      <x:c r="B4" s="10" t="str">
        <x:v>Holding-company structure and tenant isolation</x:v>
      </x:c>
      <x:c r="C4" s="10" t="str">
        <x:v>Tenant suspension and closure</x:v>
      </x:c>
      <x:c r="D4" s="10" t="str">
        <x:v>Suspend sign-in, editing, sharing and exports without automatically destroying retained records; close tenants only via approved disposition workflow.</x:v>
      </x:c>
      <x:c r="E4" s="10" t="str">
        <x:v>Retention and legal holds override closure or deletion.</x:v>
      </x:c>
      <x:c r="F4" s="10" t="str">
        <x:v>Suspension denies access immediately while preserving compliant records and audit evidence.</x:v>
      </x:c>
      <x:c r="G4" s="10" t="str">
        <x:v>Must</x:v>
      </x:c>
      <x:c r="H4" s="10" t="str">
        <x:v>Core</x:v>
      </x:c>
      <x:c r="I4" s="10" t="str">
        <x:v>Not started</x:v>
      </x:c>
      <x:c r="J4" s="10" t="str"/>
      <x:c r="K4" s="10" t="str"/>
      <x:c r="L4" s="10" t="str"/>
    </x:row>
    <x:row r="5" ht="54" customHeight="1">
      <x:c r="A5" s="10" t="str">
        <x:v>TEN-04</x:v>
      </x:c>
      <x:c r="B5" s="10" t="str">
        <x:v>Holding-company structure and tenant isolation</x:v>
      </x:c>
      <x:c r="C5" s="10" t="str">
        <x:v>Tenant-level quotas</x:v>
      </x:c>
      <x:c r="D5" s="10" t="str">
        <x:v>Set configurable storage, API request, background job and user limits for each subsidiary and aggregate group budgets.</x:v>
      </x:c>
      <x:c r="E5" s="10" t="str">
        <x:v>Per-tenant throttling prevents noisy neighbors from exhausting shared resources.</x:v>
      </x:c>
      <x:c r="F5" s="10" t="str">
        <x:v>Tenant A reaches its limit without degrading tenant B or compromising access rules.</x:v>
      </x:c>
      <x:c r="G5" s="10" t="str">
        <x:v>Should</x:v>
      </x:c>
      <x:c r="H5" s="10" t="str">
        <x:v>Enterprise</x:v>
      </x:c>
      <x:c r="I5" s="10" t="str">
        <x:v>Not started</x:v>
      </x:c>
      <x:c r="J5" s="10" t="str"/>
      <x:c r="K5" s="10" t="str"/>
      <x:c r="L5" s="10" t="str"/>
    </x:row>
    <x:row r="6" ht="54" customHeight="1">
      <x:c r="A6" s="10" t="str">
        <x:v>TEN-05</x:v>
      </x:c>
      <x:c r="B6" s="10" t="str">
        <x:v>Holding-company structure and tenant isolation</x:v>
      </x:c>
      <x:c r="C6" s="10" t="str">
        <x:v>Independent administration</x:v>
      </x:c>
      <x:c r="D6" s="10" t="str">
        <x:v>Let each subsidiary administer its own users, groups, roles, categories, folders, workflows and settings within group policy bounds.</x:v>
      </x:c>
      <x:c r="E6" s="10" t="str">
        <x:v>Group administrators cannot silently elevate content access or view encryption keys.</x:v>
      </x:c>
      <x:c r="F6" s="10" t="str">
        <x:v>A subsidiary admin changes its own settings without affecting another subsidiary.</x:v>
      </x:c>
      <x:c r="G6" s="10" t="str">
        <x:v>Must</x:v>
      </x:c>
      <x:c r="H6" s="10" t="str">
        <x:v>Core</x:v>
      </x:c>
      <x:c r="I6" s="10" t="str">
        <x:v>Not started</x:v>
      </x:c>
      <x:c r="J6" s="10" t="str"/>
      <x:c r="K6" s="10" t="str"/>
      <x:c r="L6" s="10" t="str"/>
    </x:row>
    <x:row r="7" ht="54" customHeight="1">
      <x:c r="A7" s="10" t="str">
        <x:v>TEN-06</x:v>
      </x:c>
      <x:c r="B7" s="10" t="str">
        <x:v>Holding-company structure and tenant isolation</x:v>
      </x:c>
      <x:c r="C7" s="10" t="str">
        <x:v>Central policy baselines</x:v>
      </x:c>
      <x:c r="D7" s="10" t="str">
        <x:v>The holding company defines mandatory minimum policies such as MFA, encryption, retention floors and prohibited sharing modes.</x:v>
      </x:c>
      <x:c r="E7" s="10" t="str">
        <x:v>Subsidiaries may strengthen but not weaken locked global controls.</x:v>
      </x:c>
      <x:c r="F7" s="10" t="str">
        <x:v>Attempts to relax a locked group control fail with a specific audit entry.</x:v>
      </x:c>
      <x:c r="G7" s="10" t="str">
        <x:v>Must</x:v>
      </x:c>
      <x:c r="H7" s="10" t="str">
        <x:v>Core</x:v>
      </x:c>
      <x:c r="I7" s="10" t="str">
        <x:v>Not started</x:v>
      </x:c>
      <x:c r="J7" s="10" t="str"/>
      <x:c r="K7" s="10" t="str"/>
      <x:c r="L7" s="10" t="str"/>
    </x:row>
    <x:row r="8" ht="54" customHeight="1">
      <x:c r="A8" s="10" t="str">
        <x:v>TEN-07</x:v>
      </x:c>
      <x:c r="B8" s="10" t="str">
        <x:v>Holding-company structure and tenant isolation</x:v>
      </x:c>
      <x:c r="C8" s="10" t="str">
        <x:v>Cross-subsidiary projects</x:v>
      </x:c>
      <x:c r="D8" s="10" t="str">
        <x:v>Create explicit cross-entity workspaces with named participating organizations, custodians, scope, expiry and document-specific entitlements.</x:v>
      </x:c>
      <x:c r="E8" s="10" t="str">
        <x:v>Each participating tenant authorizes sharing; encrypted keys are distributed only to authorized recipients.</x:v>
      </x:c>
      <x:c r="F8" s="10" t="str">
        <x:v>A project member can open approved materials but no other participating subsidiary files.</x:v>
      </x:c>
      <x:c r="G8" s="10" t="str">
        <x:v>Should</x:v>
      </x:c>
      <x:c r="H8" s="10" t="str">
        <x:v>Enterprise</x:v>
      </x:c>
      <x:c r="I8" s="10" t="str">
        <x:v>Not started</x:v>
      </x:c>
      <x:c r="J8" s="10" t="str"/>
      <x:c r="K8" s="10" t="str"/>
      <x:c r="L8" s="10" t="str"/>
    </x:row>
    <x:row r="9" ht="54" customHeight="1">
      <x:c r="A9" s="10" t="str">
        <x:v>TEN-08</x:v>
      </x:c>
      <x:c r="B9" s="10" t="str">
        <x:v>Holding-company structure and tenant isolation</x:v>
      </x:c>
      <x:c r="C9" s="10" t="str">
        <x:v>Tenant context selector</x:v>
      </x:c>
      <x:c r="D9" s="10" t="str">
        <x:v>For a person with memberships in multiple entities, provide a clear active-tenant switcher and context indicators throughout the UI.</x:v>
      </x:c>
      <x:c r="E9" s="10" t="str">
        <x:v>Server derives tenant context from verified membership, never from an untrusted request field alone.</x:v>
      </x:c>
      <x:c r="F9" s="10" t="str">
        <x:v>Changing the selected tenant cannot expose results or cached content from the previous tenant.</x:v>
      </x:c>
      <x:c r="G9" s="10" t="str">
        <x:v>Must</x:v>
      </x:c>
      <x:c r="H9" s="10" t="str">
        <x:v>Core</x:v>
      </x:c>
      <x:c r="I9" s="10" t="str">
        <x:v>Not started</x:v>
      </x:c>
      <x:c r="J9" s="10" t="str"/>
      <x:c r="K9" s="10" t="str"/>
      <x:c r="L9" s="10" t="str"/>
    </x:row>
    <x:row r="10" ht="54" customHeight="1">
      <x:c r="A10" s="10" t="str">
        <x:v>TEN-09</x:v>
      </x:c>
      <x:c r="B10" s="10" t="str">
        <x:v>Holding-company structure and tenant isolation</x:v>
      </x:c>
      <x:c r="C10" s="10" t="str">
        <x:v>Tenant-specific storage partitions</x:v>
      </x:c>
      <x:c r="D10" s="10" t="str">
        <x:v>Separate files, cache objects, queue tasks, search indexes, logs and backup inventory using enforceable tenant scopes.</x:v>
      </x:c>
      <x:c r="E10" s="10" t="str">
        <x:v>Direct object references and cache keys are checked for correct tenant binding.</x:v>
      </x:c>
      <x:c r="F10" s="10" t="str">
        <x:v>Automated tenant crossover tests cannot list, read, edit or export foreign objects.</x:v>
      </x:c>
      <x:c r="G10" s="10" t="str">
        <x:v>Must</x:v>
      </x:c>
      <x:c r="H10" s="10" t="str">
        <x:v>Core</x:v>
      </x:c>
      <x:c r="I10" s="10" t="str">
        <x:v>Not started</x:v>
      </x:c>
      <x:c r="J10" s="10" t="str"/>
      <x:c r="K10" s="10" t="str"/>
      <x:c r="L10" s="10" t="str"/>
    </x:row>
    <x:row r="11" ht="54" customHeight="1">
      <x:c r="A11" s="10" t="str">
        <x:v>TEN-10</x:v>
      </x:c>
      <x:c r="B11" s="10" t="str">
        <x:v>Holding-company structure and tenant isolation</x:v>
      </x:c>
      <x:c r="C11" s="10" t="str">
        <x:v>Tenant export and portability</x:v>
      </x:c>
      <x:c r="D11" s="10" t="str">
        <x:v>Export authorized documents, versions, metadata, permissions, audit excerpts and signed manifests into a documented interchange format.</x:v>
      </x:c>
      <x:c r="E11" s="10" t="str">
        <x:v>Export requires privileged approval and respects holds, encryption modes and privacy limits.</x:v>
      </x:c>
      <x:c r="F11" s="10" t="str">
        <x:v>Export can be validated and reimported into a clean deployment without loss of authorized metadata.</x:v>
      </x:c>
      <x:c r="G11" s="10" t="str">
        <x:v>Should</x:v>
      </x:c>
      <x:c r="H11" s="10" t="str">
        <x:v>Enterprise</x:v>
      </x:c>
      <x:c r="I11" s="10" t="str">
        <x:v>Not started</x:v>
      </x:c>
      <x:c r="J11" s="10" t="str"/>
      <x:c r="K11" s="10" t="str"/>
      <x:c r="L11" s="10" t="str"/>
    </x:row>
    <x:row r="12" ht="54" customHeight="1">
      <x:c r="A12" s="10" t="str">
        <x:v>TEN-11</x:v>
      </x:c>
      <x:c r="B12" s="10" t="str">
        <x:v>Holding-company structure and tenant isolation</x:v>
      </x:c>
      <x:c r="C12" s="10" t="str">
        <x:v>Tenant-specific legal identity</x:v>
      </x:c>
      <x:c r="D12" s="10" t="str">
        <x:v>Record registered business name, legal identifiers, jurisdictions, retention owner, legal contacts and approved admin domains.</x:v>
      </x:c>
      <x:c r="E12" s="10" t="str">
        <x:v>Sensitive identifiers are protected and changes to legal ownership require elevated approval.</x:v>
      </x:c>
      <x:c r="F12" s="10" t="str">
        <x:v>Change history and legal-entity version are retained for every tenant.</x:v>
      </x:c>
      <x:c r="G12" s="10" t="str">
        <x:v>Should</x:v>
      </x:c>
      <x:c r="H12" s="10" t="str">
        <x:v>Enterprise</x:v>
      </x:c>
      <x:c r="I12" s="10" t="str">
        <x:v>Not started</x:v>
      </x:c>
      <x:c r="J12" s="10" t="str"/>
      <x:c r="K12" s="10" t="str"/>
      <x:c r="L12" s="10" t="str"/>
    </x:row>
    <x:row r="13" ht="54" customHeight="1">
      <x:c r="A13" s="10" t="str">
        <x:v>TEN-12</x:v>
      </x:c>
      <x:c r="B13" s="10" t="str">
        <x:v>Holding-company structure and tenant isolation</x:v>
      </x:c>
      <x:c r="C13" s="10" t="str">
        <x:v>Multi-company organizational reporting</x:v>
      </x:c>
      <x:c r="D13" s="10" t="str">
        <x:v>Give holding auditors permitted aggregate metrics across subsidiaries: count, usage, policy compliance, incident status and workflow bottlenecks.</x:v>
      </x:c>
      <x:c r="E13" s="10" t="str">
        <x:v>Report totals do not disclose document titles or contents absent explicit authorization.</x:v>
      </x:c>
      <x:c r="F13" s="10" t="str">
        <x:v>Holding dashboard displays counts without permitting click-through into unauthorized content.</x:v>
      </x:c>
      <x:c r="G13" s="10" t="str">
        <x:v>Should</x:v>
      </x:c>
      <x:c r="H13" s="10" t="str">
        <x:v>Enterprise</x:v>
      </x:c>
      <x:c r="I13" s="10" t="str">
        <x:v>Not started</x:v>
      </x:c>
      <x:c r="J13" s="10" t="str"/>
      <x:c r="K13" s="10" t="str"/>
      <x:c r="L13" s="10" t="str"/>
    </x:row>
    <x:row r="14" ht="54" customHeight="1">
      <x:c r="A14" s="10" t="str">
        <x:v>TEN-13</x:v>
      </x:c>
      <x:c r="B14" s="10" t="str">
        <x:v>Holding-company structure and tenant isolation</x:v>
      </x:c>
      <x:c r="C14" s="10" t="str">
        <x:v>Tenant residency and region selection</x:v>
      </x:c>
      <x:c r="D14" s="10" t="str">
        <x:v>Allow each tenant to select approved geographic storage/processing regions and enforce placement for data, backups, search, AI and metadata.</x:v>
      </x:c>
      <x:c r="E14" s="10" t="str">
        <x:v>Cross-region failover is disabled when it would violate residency rules.</x:v>
      </x:c>
      <x:c r="F14" s="10" t="str">
        <x:v>Data location audit proves configured locations and blocks unapproved region processing.</x:v>
      </x:c>
      <x:c r="G14" s="10" t="str">
        <x:v>Should</x:v>
      </x:c>
      <x:c r="H14" s="10" t="str">
        <x:v>Enterprise</x:v>
      </x:c>
      <x:c r="I14" s="10" t="str">
        <x:v>Not started</x:v>
      </x:c>
      <x:c r="J14" s="10" t="str"/>
      <x:c r="K14" s="10" t="str"/>
      <x:c r="L14" s="10" t="str"/>
    </x:row>
    <x:row r="15" ht="54" customHeight="1">
      <x:c r="A15" s="10" t="str">
        <x:v>TEN-14</x:v>
      </x:c>
      <x:c r="B15" s="10" t="str">
        <x:v>Holding-company structure and tenant isolation</x:v>
      </x:c>
      <x:c r="C15" s="10" t="str">
        <x:v>Corporate reorganizations</x:v>
      </x:c>
      <x:c r="D15" s="10" t="str">
        <x:v>Support subsidiary rename, merger, split, transfer or liquidation through an explicit migration and consent process.</x:v>
      </x:c>
      <x:c r="E15" s="10" t="str">
        <x:v>No silent transfer of records, keys or rights; preservation schedules remain intact.</x:v>
      </x:c>
      <x:c r="F15" s="10" t="str">
        <x:v>Trial migration produces an impact report and reversible staging before cutover.</x:v>
      </x:c>
      <x:c r="G15" s="10" t="str">
        <x:v>Advanced</x:v>
      </x:c>
      <x:c r="H15" s="10" t="str">
        <x:v>Expansion</x:v>
      </x:c>
      <x:c r="I15" s="10" t="str">
        <x:v>Not started</x:v>
      </x:c>
      <x:c r="J15" s="10" t="str"/>
      <x:c r="K15" s="10" t="str"/>
      <x:c r="L15" s="10" t="str"/>
    </x:row>
    <x:row r="16" ht="54" customHeight="1">
      <x:c r="A16" s="10" t="str">
        <x:v>IAM-01</x:v>
      </x:c>
      <x:c r="B16" s="10" t="str">
        <x:v>Identity, membership, roles and authorization</x:v>
      </x:c>
      <x:c r="C16" s="10" t="str">
        <x:v>Global identities with tenant memberships</x:v>
      </x:c>
      <x:c r="D16" s="10" t="str">
        <x:v>Represent a person once in the identity service and create independent active, suspended or expired memberships in any number of subsidiaries.</x:v>
      </x:c>
      <x:c r="E16" s="10" t="str">
        <x:v>Memberships have tenant-specific roles, entitlements and expiry.</x:v>
      </x:c>
      <x:c r="F16" s="10" t="str">
        <x:v>Deactivating tenant A membership does not affect an approved membership in tenant B.</x:v>
      </x:c>
      <x:c r="G16" s="10" t="str">
        <x:v>Must</x:v>
      </x:c>
      <x:c r="H16" s="10" t="str">
        <x:v>Core</x:v>
      </x:c>
      <x:c r="I16" s="10" t="str">
        <x:v>Not started</x:v>
      </x:c>
      <x:c r="J16" s="10" t="str"/>
      <x:c r="K16" s="10" t="str"/>
      <x:c r="L16" s="10" t="str"/>
    </x:row>
    <x:row r="17" ht="54" customHeight="1">
      <x:c r="A17" s="10" t="str">
        <x:v>IAM-02</x:v>
      </x:c>
      <x:c r="B17" s="10" t="str">
        <x:v>Identity, membership, roles and authorization</x:v>
      </x:c>
      <x:c r="C17" s="10" t="str">
        <x:v>Subsidiary-defined custom roles</x:v>
      </x:c>
      <x:c r="D17" s="10" t="str">
        <x:v>Allow admins to name roles, select granular capabilities and publish versioned role templates for their own subsidiary.</x:v>
      </x:c>
      <x:c r="E17" s="10" t="str">
        <x:v>New roles default to no privileges; self-escalation is blocked.</x:v>
      </x:c>
      <x:c r="F17" s="10" t="str">
        <x:v>Create an HR Reviewer role and verify only selected operations are allowed.</x:v>
      </x:c>
      <x:c r="G17" s="10" t="str">
        <x:v>Must</x:v>
      </x:c>
      <x:c r="H17" s="10" t="str">
        <x:v>Core</x:v>
      </x:c>
      <x:c r="I17" s="10" t="str">
        <x:v>Not started</x:v>
      </x:c>
      <x:c r="J17" s="10" t="str"/>
      <x:c r="K17" s="10" t="str"/>
      <x:c r="L17" s="10" t="str"/>
    </x:row>
    <x:row r="18" ht="54" customHeight="1">
      <x:c r="A18" s="10" t="str">
        <x:v>IAM-03</x:v>
      </x:c>
      <x:c r="B18" s="10" t="str">
        <x:v>Identity, membership, roles and authorization</x:v>
      </x:c>
      <x:c r="C18" s="10" t="str">
        <x:v>Role hierarchies and constraints</x:v>
      </x:c>
      <x:c r="D18" s="10" t="str">
        <x:v>Permit reusable role bundles but show the full effective permission set before assigning.</x:v>
      </x:c>
      <x:c r="E18" s="10" t="str">
        <x:v>Privileges never imply cross-tenant access; privilege amplification via nested roles is rejected.</x:v>
      </x:c>
      <x:c r="F18" s="10" t="str">
        <x:v>Role editor identifies and blocks conflicting or unauthorized capability combinations.</x:v>
      </x:c>
      <x:c r="G18" s="10" t="str">
        <x:v>Should</x:v>
      </x:c>
      <x:c r="H18" s="10" t="str">
        <x:v>Enterprise</x:v>
      </x:c>
      <x:c r="I18" s="10" t="str">
        <x:v>Not started</x:v>
      </x:c>
      <x:c r="J18" s="10" t="str"/>
      <x:c r="K18" s="10" t="str"/>
      <x:c r="L18" s="10" t="str"/>
    </x:row>
    <x:row r="19" ht="54" customHeight="1">
      <x:c r="A19" s="10" t="str">
        <x:v>IAM-04</x:v>
      </x:c>
      <x:c r="B19" s="10" t="str">
        <x:v>Identity, membership, roles and authorization</x:v>
      </x:c>
      <x:c r="C19" s="10" t="str">
        <x:v>Department and project groups</x:v>
      </x:c>
      <x:c r="D19" s="10" t="str">
        <x:v>Support directory-synced and locally managed teams, dynamic groups and project-specific memberships.</x:v>
      </x:c>
      <x:c r="E19" s="10" t="str">
        <x:v>Dynamic membership rules are evaluated securely and require approval for privileged scopes.</x:v>
      </x:c>
      <x:c r="F19" s="10" t="str">
        <x:v>Removing a member from a group revokes future access and triggers key policy actions.</x:v>
      </x:c>
      <x:c r="G19" s="10" t="str">
        <x:v>Must</x:v>
      </x:c>
      <x:c r="H19" s="10" t="str">
        <x:v>Core</x:v>
      </x:c>
      <x:c r="I19" s="10" t="str">
        <x:v>Not started</x:v>
      </x:c>
      <x:c r="J19" s="10" t="str"/>
      <x:c r="K19" s="10" t="str"/>
      <x:c r="L19" s="10" t="str"/>
    </x:row>
    <x:row r="20" ht="54" customHeight="1">
      <x:c r="A20" s="10" t="str">
        <x:v>IAM-05</x:v>
      </x:c>
      <x:c r="B20" s="10" t="str">
        <x:v>Identity, membership, roles and authorization</x:v>
      </x:c>
      <x:c r="C20" s="10" t="str">
        <x:v>Document-level ACLs</x:v>
      </x:c>
      <x:c r="D20" s="10" t="str">
        <x:v>Grant view, comment, edit, manage, share, print, download, export and delete independently to users, groups and roles.</x:v>
      </x:c>
      <x:c r="E20" s="10" t="str">
        <x:v>Explicit deny overrides grants, and absent permission means deny.</x:v>
      </x:c>
      <x:c r="F20" s="10" t="str">
        <x:v>A viewer permitted to preview but not download receives denial for every export endpoint.</x:v>
      </x:c>
      <x:c r="G20" s="10" t="str">
        <x:v>Must</x:v>
      </x:c>
      <x:c r="H20" s="10" t="str">
        <x:v>Core</x:v>
      </x:c>
      <x:c r="I20" s="10" t="str">
        <x:v>Not started</x:v>
      </x:c>
      <x:c r="J20" s="10" t="str"/>
      <x:c r="K20" s="10" t="str"/>
      <x:c r="L20" s="10" t="str"/>
    </x:row>
    <x:row r="21" ht="54" customHeight="1">
      <x:c r="A21" s="10" t="str">
        <x:v>IAM-06</x:v>
      </x:c>
      <x:c r="B21" s="10" t="str">
        <x:v>Identity, membership, roles and authorization</x:v>
      </x:c>
      <x:c r="C21" s="10" t="str">
        <x:v>Attribute-based rules</x:v>
      </x:c>
      <x:c r="D21" s="10" t="str">
        <x:v>Combine role grants with classification, owner, department, device posture, location, network and time conditions.</x:v>
      </x:c>
      <x:c r="E21" s="10" t="str">
        <x:v>Context claims are trusted only from authenticated sources and reevaluated on sensitive operations.</x:v>
      </x:c>
      <x:c r="F21" s="10" t="str">
        <x:v>A confidential document cannot be opened outside permitted contextual conditions.</x:v>
      </x:c>
      <x:c r="G21" s="10" t="str">
        <x:v>Should</x:v>
      </x:c>
      <x:c r="H21" s="10" t="str">
        <x:v>Enterprise</x:v>
      </x:c>
      <x:c r="I21" s="10" t="str">
        <x:v>Not started</x:v>
      </x:c>
      <x:c r="J21" s="10" t="str"/>
      <x:c r="K21" s="10" t="str"/>
      <x:c r="L21" s="10" t="str"/>
    </x:row>
    <x:row r="22" ht="54" customHeight="1">
      <x:c r="A22" s="10" t="str">
        <x:v>IAM-07</x:v>
      </x:c>
      <x:c r="B22" s="10" t="str">
        <x:v>Identity, membership, roles and authorization</x:v>
      </x:c>
      <x:c r="C22" s="10" t="str">
        <x:v>Folder permission inheritance</x:v>
      </x:c>
      <x:c r="D22" s="10" t="str">
        <x:v>Allow inheritance from parent folders, with controlled exceptions and a visual explanation of effective rights.</x:v>
      </x:c>
      <x:c r="E22" s="10" t="str">
        <x:v>Child restrictions may tighten defaults; conflicts resolve deterministically and fail closed.</x:v>
      </x:c>
      <x:c r="F22" s="10" t="str">
        <x:v>Moving a document between folders recalculates rights without exposing it mid-transaction.</x:v>
      </x:c>
      <x:c r="G22" s="10" t="str">
        <x:v>Must</x:v>
      </x:c>
      <x:c r="H22" s="10" t="str">
        <x:v>Core</x:v>
      </x:c>
      <x:c r="I22" s="10" t="str">
        <x:v>Not started</x:v>
      </x:c>
      <x:c r="J22" s="10" t="str"/>
      <x:c r="K22" s="10" t="str"/>
      <x:c r="L22" s="10" t="str"/>
    </x:row>
    <x:row r="23" ht="54" customHeight="1">
      <x:c r="A23" s="10" t="str">
        <x:v>IAM-08</x:v>
      </x:c>
      <x:c r="B23" s="10" t="str">
        <x:v>Identity, membership, roles and authorization</x:v>
      </x:c>
      <x:c r="C23" s="10" t="str">
        <x:v>Policy simulator</x:v>
      </x:c>
      <x:c r="D23" s="10" t="str">
        <x:v>Provide a who-can-access-what tester showing allow/deny decisions and the applicable rules without displaying protected content.</x:v>
      </x:c>
      <x:c r="E23" s="10" t="str">
        <x:v>Only authorized admins can inspect policy traces and simulations are audited.</x:v>
      </x:c>
      <x:c r="F23" s="10" t="str">
        <x:v>Admin enters user, document and action and receives a reproducible decision trace.</x:v>
      </x:c>
      <x:c r="G23" s="10" t="str">
        <x:v>Should</x:v>
      </x:c>
      <x:c r="H23" s="10" t="str">
        <x:v>Enterprise</x:v>
      </x:c>
      <x:c r="I23" s="10" t="str">
        <x:v>Not started</x:v>
      </x:c>
      <x:c r="J23" s="10" t="str"/>
      <x:c r="K23" s="10" t="str"/>
      <x:c r="L23" s="10" t="str"/>
    </x:row>
    <x:row r="24" ht="54" customHeight="1">
      <x:c r="A24" s="10" t="str">
        <x:v>IAM-09</x:v>
      </x:c>
      <x:c r="B24" s="10" t="str">
        <x:v>Identity, membership, roles and authorization</x:v>
      </x:c>
      <x:c r="C24" s="10" t="str">
        <x:v>Access request and approval</x:v>
      </x:c>
      <x:c r="D24" s="10" t="str">
        <x:v>Let users request access with a purpose and expiry; route to document owners and designated access approvers.</x:v>
      </x:c>
      <x:c r="E24" s="10" t="str">
        <x:v>Requester cannot approve own request; high-sensitivity grants may require two independent approvers.</x:v>
      </x:c>
      <x:c r="F24" s="10" t="str">
        <x:v>An approved grant expires automatically and leaves a complete audit trail.</x:v>
      </x:c>
      <x:c r="G24" s="10" t="str">
        <x:v>Should</x:v>
      </x:c>
      <x:c r="H24" s="10" t="str">
        <x:v>Enterprise</x:v>
      </x:c>
      <x:c r="I24" s="10" t="str">
        <x:v>Not started</x:v>
      </x:c>
      <x:c r="J24" s="10" t="str"/>
      <x:c r="K24" s="10" t="str"/>
      <x:c r="L24" s="10" t="str"/>
    </x:row>
    <x:row r="25" ht="54" customHeight="1">
      <x:c r="A25" s="10" t="str">
        <x:v>IAM-10</x:v>
      </x:c>
      <x:c r="B25" s="10" t="str">
        <x:v>Identity, membership, roles and authorization</x:v>
      </x:c>
      <x:c r="C25" s="10" t="str">
        <x:v>Time-limited and conditional permissions</x:v>
      </x:c>
      <x:c r="D25" s="10" t="str">
        <x:v>Support start/end dates, one-time grants and session-bound access for temporary projects and external specialists.</x:v>
      </x:c>
      <x:c r="E25" s="10" t="str">
        <x:v>Expired grants are denied before file streaming or key distribution.</x:v>
      </x:c>
      <x:c r="F25" s="10" t="str">
        <x:v>Access immediately fails after expiry even when old links are reused.</x:v>
      </x:c>
      <x:c r="G25" s="10" t="str">
        <x:v>Must</x:v>
      </x:c>
      <x:c r="H25" s="10" t="str">
        <x:v>Core</x:v>
      </x:c>
      <x:c r="I25" s="10" t="str">
        <x:v>Not started</x:v>
      </x:c>
      <x:c r="J25" s="10" t="str"/>
      <x:c r="K25" s="10" t="str"/>
      <x:c r="L25" s="10" t="str"/>
    </x:row>
    <x:row r="26" ht="54" customHeight="1">
      <x:c r="A26" s="10" t="str">
        <x:v>IAM-11</x:v>
      </x:c>
      <x:c r="B26" s="10" t="str">
        <x:v>Identity, membership, roles and authorization</x:v>
      </x:c>
      <x:c r="C26" s="10" t="str">
        <x:v>Separation of duties</x:v>
      </x:c>
      <x:c r="D26" s="10" t="str">
        <x:v>Prevent conflicting combinations such as creator and final approver or custodian and unilateral disposition authorizer.</x:v>
      </x:c>
      <x:c r="E26" s="10" t="str">
        <x:v>Conflicts are checked at assignment and at action time, including delegated permissions.</x:v>
      </x:c>
      <x:c r="F26" s="10" t="str">
        <x:v>Workflow fails closed when an actor attempts both conflicting steps.</x:v>
      </x:c>
      <x:c r="G26" s="10" t="str">
        <x:v>Must</x:v>
      </x:c>
      <x:c r="H26" s="10" t="str">
        <x:v>Core</x:v>
      </x:c>
      <x:c r="I26" s="10" t="str">
        <x:v>Not started</x:v>
      </x:c>
      <x:c r="J26" s="10" t="str"/>
      <x:c r="K26" s="10" t="str"/>
      <x:c r="L26" s="10" t="str"/>
    </x:row>
    <x:row r="27" ht="54" customHeight="1">
      <x:c r="A27" s="10" t="str">
        <x:v>IAM-12</x:v>
      </x:c>
      <x:c r="B27" s="10" t="str">
        <x:v>Identity, membership, roles and authorization</x:v>
      </x:c>
      <x:c r="C27" s="10" t="str">
        <x:v>Delegated administration</x:v>
      </x:c>
      <x:c r="D27" s="10" t="str">
        <x:v>Delegate limited user, folder or workflow administration for a date range without granting content read or key access.</x:v>
      </x:c>
      <x:c r="E27" s="10" t="str">
        <x:v>Delegation scope is narrow, explicit, revocable and logged.</x:v>
      </x:c>
      <x:c r="F27" s="10" t="str">
        <x:v>Delegated manager can update permitted assignments but cannot view confidential files.</x:v>
      </x:c>
      <x:c r="G27" s="10" t="str">
        <x:v>Should</x:v>
      </x:c>
      <x:c r="H27" s="10" t="str">
        <x:v>Enterprise</x:v>
      </x:c>
      <x:c r="I27" s="10" t="str">
        <x:v>Not started</x:v>
      </x:c>
      <x:c r="J27" s="10" t="str"/>
      <x:c r="K27" s="10" t="str"/>
      <x:c r="L27" s="10" t="str"/>
    </x:row>
    <x:row r="28" ht="54" customHeight="1">
      <x:c r="A28" s="10" t="str">
        <x:v>IAM-13</x:v>
      </x:c>
      <x:c r="B28" s="10" t="str">
        <x:v>Identity, membership, roles and authorization</x:v>
      </x:c>
      <x:c r="C28" s="10" t="str">
        <x:v>Emergency break-glass</x:v>
      </x:c>
      <x:c r="D28" s="10" t="str">
        <x:v>Provide highly restricted emergency access to managed-mode resources when explicitly allowed, with independent approval and incident ticket linkage.</x:v>
      </x:c>
      <x:c r="E28" s="10" t="str">
        <x:v>Zero-Knowledge content has no magical break-glass; recovery requires its separate approved key-recovery design.</x:v>
      </x:c>
      <x:c r="F28" s="10" t="str">
        <x:v>Emergency grants are time-bound, alerted and reviewed afterward.</x:v>
      </x:c>
      <x:c r="G28" s="10" t="str">
        <x:v>Should</x:v>
      </x:c>
      <x:c r="H28" s="10" t="str">
        <x:v>Enterprise</x:v>
      </x:c>
      <x:c r="I28" s="10" t="str">
        <x:v>Not started</x:v>
      </x:c>
      <x:c r="J28" s="10" t="str"/>
      <x:c r="K28" s="10" t="str"/>
      <x:c r="L28" s="10" t="str"/>
    </x:row>
    <x:row r="29" ht="54" customHeight="1">
      <x:c r="A29" s="10" t="str">
        <x:v>IAM-14</x:v>
      </x:c>
      <x:c r="B29" s="10" t="str">
        <x:v>Identity, membership, roles and authorization</x:v>
      </x:c>
      <x:c r="C29" s="10" t="str">
        <x:v>Service accounts and workloads</x:v>
      </x:c>
      <x:c r="D29" s="10" t="str">
        <x:v>Issue machine identities for imports, scans, connectors and jobs with narrowly scoped operations and credentials.</x:v>
      </x:c>
      <x:c r="E29" s="10" t="str">
        <x:v>No shared superuser tokens or unscoped background execution.</x:v>
      </x:c>
      <x:c r="F29" s="10" t="str">
        <x:v>Revoking a workload identity immediately disables its operations and produces audit events.</x:v>
      </x:c>
      <x:c r="G29" s="10" t="str">
        <x:v>Must</x:v>
      </x:c>
      <x:c r="H29" s="10" t="str">
        <x:v>Core</x:v>
      </x:c>
      <x:c r="I29" s="10" t="str">
        <x:v>Not started</x:v>
      </x:c>
      <x:c r="J29" s="10" t="str"/>
      <x:c r="K29" s="10" t="str"/>
      <x:c r="L29" s="10" t="str"/>
    </x:row>
    <x:row r="30" ht="54" customHeight="1">
      <x:c r="A30" s="10" t="str">
        <x:v>IAM-15</x:v>
      </x:c>
      <x:c r="B30" s="10" t="str">
        <x:v>Identity, membership, roles and authorization</x:v>
      </x:c>
      <x:c r="C30" s="10" t="str">
        <x:v>Group-wide permission inventory</x:v>
      </x:c>
      <x:c r="D30" s="10" t="str">
        <x:v>Report all privileged accounts, public/external grants, inherited policies, stale accounts and exceptions by subsidiary.</x:v>
      </x:c>
      <x:c r="E30" s="10" t="str">
        <x:v>Queries redact private names/titles where reporting actor lacks rights.</x:v>
      </x:c>
      <x:c r="F30" s="10" t="str">
        <x:v>Quarterly entitlement review generates an actionable report with approvals.</x:v>
      </x:c>
      <x:c r="G30" s="10" t="str">
        <x:v>Should</x:v>
      </x:c>
      <x:c r="H30" s="10" t="str">
        <x:v>Enterprise</x:v>
      </x:c>
      <x:c r="I30" s="10" t="str">
        <x:v>Not started</x:v>
      </x:c>
      <x:c r="J30" s="10" t="str"/>
      <x:c r="K30" s="10" t="str"/>
      <x:c r="L30" s="10" t="str"/>
    </x:row>
    <x:row r="31" ht="54" customHeight="1">
      <x:c r="A31" s="10" t="str">
        <x:v>IAM-16</x:v>
      </x:c>
      <x:c r="B31" s="10" t="str">
        <x:v>Identity, membership, roles and authorization</x:v>
      </x:c>
      <x:c r="C31" s="10" t="str">
        <x:v>Periodic access certification</x:v>
      </x:c>
      <x:c r="D31" s="10" t="str">
        <x:v>Assign managers or custodians to recertify access to sensitive folders and users on defined schedules.</x:v>
      </x:c>
      <x:c r="E31" s="10" t="str">
        <x:v>Unreviewed rights expire or enter restriction according to policy.</x:v>
      </x:c>
      <x:c r="F31" s="10" t="str">
        <x:v>Certification cycle tracks attestations, overdue reviews and revocations.</x:v>
      </x:c>
      <x:c r="G31" s="10" t="str">
        <x:v>Should</x:v>
      </x:c>
      <x:c r="H31" s="10" t="str">
        <x:v>Enterprise</x:v>
      </x:c>
      <x:c r="I31" s="10" t="str">
        <x:v>Not started</x:v>
      </x:c>
      <x:c r="J31" s="10" t="str"/>
      <x:c r="K31" s="10" t="str"/>
      <x:c r="L31" s="10" t="str"/>
    </x:row>
    <x:row r="32" ht="54" customHeight="1">
      <x:c r="A32" s="10" t="str">
        <x:v>IAM-17</x:v>
      </x:c>
      <x:c r="B32" s="10" t="str">
        <x:v>Identity, membership, roles and authorization</x:v>
      </x:c>
      <x:c r="C32" s="10" t="str">
        <x:v>Authorization race protection</x:v>
      </x:c>
      <x:c r="D32" s="10" t="str">
        <x:v>Recheck permissions when generating download grants, streaming files, applying versions and delivering queued content.</x:v>
      </x:c>
      <x:c r="E32" s="10" t="str">
        <x:v>Revoked access wins over stale caches or background jobs.</x:v>
      </x:c>
      <x:c r="F32" s="10" t="str">
        <x:v>Revoke rights during a large download and verify the system blocks subsequent authorized fetches as designed.</x:v>
      </x:c>
      <x:c r="G32" s="10" t="str">
        <x:v>Must</x:v>
      </x:c>
      <x:c r="H32" s="10" t="str">
        <x:v>Core</x:v>
      </x:c>
      <x:c r="I32" s="10" t="str">
        <x:v>Not started</x:v>
      </x:c>
      <x:c r="J32" s="10" t="str"/>
      <x:c r="K32" s="10" t="str"/>
      <x:c r="L32" s="10" t="str"/>
    </x:row>
    <x:row r="33" ht="54" customHeight="1">
      <x:c r="A33" s="10" t="str">
        <x:v>AUT-01</x:v>
      </x:c>
      <x:c r="B33" s="10" t="str">
        <x:v>Authentication, sessions and trusted devices</x:v>
      </x:c>
      <x:c r="C33" s="10" t="str">
        <x:v>Enterprise SSO</x:v>
      </x:c>
      <x:c r="D33" s="10" t="str">
        <x:v>Integrate OIDC and optionally SAML identity providers per tenant or central enterprise directory.</x:v>
      </x:c>
      <x:c r="E33" s="10" t="str">
        <x:v>Validate audience, issuer, signature, expiration and tenant binding; reject insecure SSO fallbacks.</x:v>
      </x:c>
      <x:c r="F33" s="10" t="str">
        <x:v>Single sign-on creates only memberships explicitly mapped from trusted identity claims.</x:v>
      </x:c>
      <x:c r="G33" s="10" t="str">
        <x:v>Must</x:v>
      </x:c>
      <x:c r="H33" s="10" t="str">
        <x:v>Core</x:v>
      </x:c>
      <x:c r="I33" s="10" t="str">
        <x:v>Not started</x:v>
      </x:c>
      <x:c r="J33" s="10" t="str"/>
      <x:c r="K33" s="10" t="str"/>
      <x:c r="L33" s="10" t="str"/>
    </x:row>
    <x:row r="34" ht="54" customHeight="1">
      <x:c r="A34" s="10" t="str">
        <x:v>AUT-02</x:v>
      </x:c>
      <x:c r="B34" s="10" t="str">
        <x:v>Authentication, sessions and trusted devices</x:v>
      </x:c>
      <x:c r="C34" s="10" t="str">
        <x:v>Passkeys and MFA</x:v>
      </x:c>
      <x:c r="D34" s="10" t="str">
        <x:v>Support phishing-resistant passkeys or hardware-backed MFA for privileged and sensitive roles; provide secondary enrollment controls.</x:v>
      </x:c>
      <x:c r="E34" s="10" t="str">
        <x:v>Enforce step-up MFA for exports, privileged changes and recovery.</x:v>
      </x:c>
      <x:c r="F34" s="10" t="str">
        <x:v>A privileged action without the required second factor is rejected.</x:v>
      </x:c>
      <x:c r="G34" s="10" t="str">
        <x:v>Must</x:v>
      </x:c>
      <x:c r="H34" s="10" t="str">
        <x:v>Core</x:v>
      </x:c>
      <x:c r="I34" s="10" t="str">
        <x:v>Not started</x:v>
      </x:c>
      <x:c r="J34" s="10" t="str"/>
      <x:c r="K34" s="10" t="str"/>
      <x:c r="L34" s="10" t="str"/>
    </x:row>
    <x:row r="35" ht="54" customHeight="1">
      <x:c r="A35" s="10" t="str">
        <x:v>AUT-03</x:v>
      </x:c>
      <x:c r="B35" s="10" t="str">
        <x:v>Authentication, sessions and trusted devices</x:v>
      </x:c>
      <x:c r="C35" s="10" t="str">
        <x:v>Local account fallback</x:v>
      </x:c>
      <x:c r="D35" s="10" t="str">
        <x:v>Support explicitly approved local accounts where SSO is unavailable, with Argon2id password hashing and secure recovery.</x:v>
      </x:c>
      <x:c r="E35" s="10" t="str">
        <x:v>No plaintext or reversible password storage; disable local fallback when tenant policy forbids it.</x:v>
      </x:c>
      <x:c r="F35" s="10" t="str">
        <x:v>Password resets invalidate prior sessions and trigger notification.</x:v>
      </x:c>
      <x:c r="G35" s="10" t="str">
        <x:v>Should</x:v>
      </x:c>
      <x:c r="H35" s="10" t="str">
        <x:v>Enterprise</x:v>
      </x:c>
      <x:c r="I35" s="10" t="str">
        <x:v>Not started</x:v>
      </x:c>
      <x:c r="J35" s="10" t="str"/>
      <x:c r="K35" s="10" t="str"/>
      <x:c r="L35" s="10" t="str"/>
    </x:row>
    <x:row r="36" ht="54" customHeight="1">
      <x:c r="A36" s="10" t="str">
        <x:v>AUT-04</x:v>
      </x:c>
      <x:c r="B36" s="10" t="str">
        <x:v>Authentication, sessions and trusted devices</x:v>
      </x:c>
      <x:c r="C36" s="10" t="str">
        <x:v>Lifecycle synchronization</x:v>
      </x:c>
      <x:c r="D36" s="10" t="str">
        <x:v>Provision and deprovision accounts via SCIM or approved directory sync, with offboarding across tenant memberships.</x:v>
      </x:c>
      <x:c r="E36" s="10" t="str">
        <x:v>Suspended users cannot use API tokens, file clients or queued links.</x:v>
      </x:c>
      <x:c r="F36" s="10" t="str">
        <x:v>Directory deactivation blocks all future access within configured synchronization targets.</x:v>
      </x:c>
      <x:c r="G36" s="10" t="str">
        <x:v>Should</x:v>
      </x:c>
      <x:c r="H36" s="10" t="str">
        <x:v>Enterprise</x:v>
      </x:c>
      <x:c r="I36" s="10" t="str">
        <x:v>Not started</x:v>
      </x:c>
      <x:c r="J36" s="10" t="str"/>
      <x:c r="K36" s="10" t="str"/>
      <x:c r="L36" s="10" t="str"/>
    </x:row>
    <x:row r="37" ht="54" customHeight="1">
      <x:c r="A37" s="10" t="str">
        <x:v>AUT-05</x:v>
      </x:c>
      <x:c r="B37" s="10" t="str">
        <x:v>Authentication, sessions and trusted devices</x:v>
      </x:c>
      <x:c r="C37" s="10" t="str">
        <x:v>Sessions and refresh token controls</x:v>
      </x:c>
      <x:c r="D37" s="10" t="str">
        <x:v>Use short-lived access tokens, rotating refresh tokens, device-bound sessions where possible and revocation registries.</x:v>
      </x:c>
      <x:c r="E37" s="10" t="str">
        <x:v>Tokens are scoped to user, client and tenant context; replay is detected.</x:v>
      </x:c>
      <x:c r="F37" s="10" t="str">
        <x:v>A revoked token is denied across all protected services within the defined revocation window.</x:v>
      </x:c>
      <x:c r="G37" s="10" t="str">
        <x:v>Must</x:v>
      </x:c>
      <x:c r="H37" s="10" t="str">
        <x:v>Core</x:v>
      </x:c>
      <x:c r="I37" s="10" t="str">
        <x:v>Not started</x:v>
      </x:c>
      <x:c r="J37" s="10" t="str"/>
      <x:c r="K37" s="10" t="str"/>
      <x:c r="L37" s="10" t="str"/>
    </x:row>
    <x:row r="38" ht="54" customHeight="1">
      <x:c r="A38" s="10" t="str">
        <x:v>AUT-06</x:v>
      </x:c>
      <x:c r="B38" s="10" t="str">
        <x:v>Authentication, sessions and trusted devices</x:v>
      </x:c>
      <x:c r="C38" s="10" t="str">
        <x:v>Trusted device policy</x:v>
      </x:c>
      <x:c r="D38" s="10" t="str">
        <x:v>Support device registration, posture attestation from integrations and conditional rules for managed/unmanaged devices.</x:v>
      </x:c>
      <x:c r="E38" s="10" t="str">
        <x:v>Device health or certificate state never grants authorization alone.</x:v>
      </x:c>
      <x:c r="F38" s="10" t="str">
        <x:v>Download is blocked on an unmanaged device for classifications requiring managed endpoints.</x:v>
      </x:c>
      <x:c r="G38" s="10" t="str">
        <x:v>Should</x:v>
      </x:c>
      <x:c r="H38" s="10" t="str">
        <x:v>Enterprise</x:v>
      </x:c>
      <x:c r="I38" s="10" t="str">
        <x:v>Not started</x:v>
      </x:c>
      <x:c r="J38" s="10" t="str"/>
      <x:c r="K38" s="10" t="str"/>
      <x:c r="L38" s="10" t="str"/>
    </x:row>
    <x:row r="39" ht="54" customHeight="1">
      <x:c r="A39" s="10" t="str">
        <x:v>AUT-07</x:v>
      </x:c>
      <x:c r="B39" s="10" t="str">
        <x:v>Authentication, sessions and trusted devices</x:v>
      </x:c>
      <x:c r="C39" s="10" t="str">
        <x:v>Session inventory</x:v>
      </x:c>
      <x:c r="D39" s="10" t="str">
        <x:v>Users and admins can view active sessions, last authentication, client type, device and revoke sessions.</x:v>
      </x:c>
      <x:c r="E39" s="10" t="str">
        <x:v>Display only appropriately minimized device metadata.</x:v>
      </x:c>
      <x:c r="F39" s="10" t="str">
        <x:v>Logout-all revokes web, mobile and desktop refresh sessions.</x:v>
      </x:c>
      <x:c r="G39" s="10" t="str">
        <x:v>Must</x:v>
      </x:c>
      <x:c r="H39" s="10" t="str">
        <x:v>Core</x:v>
      </x:c>
      <x:c r="I39" s="10" t="str">
        <x:v>Not started</x:v>
      </x:c>
      <x:c r="J39" s="10" t="str"/>
      <x:c r="K39" s="10" t="str"/>
      <x:c r="L39" s="10" t="str"/>
    </x:row>
    <x:row r="40" ht="54" customHeight="1">
      <x:c r="A40" s="10" t="str">
        <x:v>AUT-08</x:v>
      </x:c>
      <x:c r="B40" s="10" t="str">
        <x:v>Authentication, sessions and trusted devices</x:v>
      </x:c>
      <x:c r="C40" s="10" t="str">
        <x:v>Adaptive authentication</x:v>
      </x:c>
      <x:c r="D40" s="10" t="str">
        <x:v>Require step-up checks for anomalous sessions, unusual travel and highly sensitive operations.</x:v>
      </x:c>
      <x:c r="E40" s="10" t="str">
        <x:v>Risk scoring is explainable and must avoid sole automated irrevocable employee sanctions.</x:v>
      </x:c>
      <x:c r="F40" s="10" t="str">
        <x:v>High-risk export triggers additional verification and security event.</x:v>
      </x:c>
      <x:c r="G40" s="10" t="str">
        <x:v>Should</x:v>
      </x:c>
      <x:c r="H40" s="10" t="str">
        <x:v>Enterprise</x:v>
      </x:c>
      <x:c r="I40" s="10" t="str">
        <x:v>Not started</x:v>
      </x:c>
      <x:c r="J40" s="10" t="str"/>
      <x:c r="K40" s="10" t="str"/>
      <x:c r="L40" s="10" t="str"/>
    </x:row>
    <x:row r="41" ht="54" customHeight="1">
      <x:c r="A41" s="10" t="str">
        <x:v>AUT-09</x:v>
      </x:c>
      <x:c r="B41" s="10" t="str">
        <x:v>Authentication, sessions and trusted devices</x:v>
      </x:c>
      <x:c r="C41" s="10" t="str">
        <x:v>Privileged access controls</x:v>
      </x:c>
      <x:c r="D41" s="10" t="str">
        <x:v>Require separate admin elevation, limited-time privileged sessions and approvals for critical key/recovery operations.</x:v>
      </x:c>
      <x:c r="E41" s="10" t="str">
        <x:v>Routine browsing identities do not inherit permanent unrestricted privilege.</x:v>
      </x:c>
      <x:c r="F41" s="10" t="str">
        <x:v>Elevation expires and is traceable to the original user and approval.</x:v>
      </x:c>
      <x:c r="G41" s="10" t="str">
        <x:v>Should</x:v>
      </x:c>
      <x:c r="H41" s="10" t="str">
        <x:v>Enterprise</x:v>
      </x:c>
      <x:c r="I41" s="10" t="str">
        <x:v>Not started</x:v>
      </x:c>
      <x:c r="J41" s="10" t="str"/>
      <x:c r="K41" s="10" t="str"/>
      <x:c r="L41" s="10" t="str"/>
    </x:row>
    <x:row r="42" ht="54" customHeight="1">
      <x:c r="A42" s="10" t="str">
        <x:v>AUT-10</x:v>
      </x:c>
      <x:c r="B42" s="10" t="str">
        <x:v>Authentication, sessions and trusted devices</x:v>
      </x:c>
      <x:c r="C42" s="10" t="str">
        <x:v>Account takeover defenses</x:v>
      </x:c>
      <x:c r="D42" s="10" t="str">
        <x:v>Apply rate limits, anti-enumeration measures, bot defenses and suspicious login alerts.</x:v>
      </x:c>
      <x:c r="E42" s="10" t="str">
        <x:v>Security challenges must remain accessible and avoid disclosing valid usernames.</x:v>
      </x:c>
      <x:c r="F42" s="10" t="str">
        <x:v>Password spraying simulation triggers throttling and alerts without cross-tenant leakage.</x:v>
      </x:c>
      <x:c r="G42" s="10" t="str">
        <x:v>Must</x:v>
      </x:c>
      <x:c r="H42" s="10" t="str">
        <x:v>Core</x:v>
      </x:c>
      <x:c r="I42" s="10" t="str">
        <x:v>Not started</x:v>
      </x:c>
      <x:c r="J42" s="10" t="str"/>
      <x:c r="K42" s="10" t="str"/>
      <x:c r="L42" s="10" t="str"/>
    </x:row>
    <x:row r="43" ht="54" customHeight="1">
      <x:c r="A43" s="10" t="str">
        <x:v>AUT-11</x:v>
      </x:c>
      <x:c r="B43" s="10" t="str">
        <x:v>Authentication, sessions and trusted devices</x:v>
      </x:c>
      <x:c r="C43" s="10" t="str">
        <x:v>Trusted device enrollment for E2EE</x:v>
      </x:c>
      <x:c r="D43" s="10" t="str">
        <x:v>Register cryptographic device public keys, allow user verification and show key fingerprints for confidential collaboration.</x:v>
      </x:c>
      <x:c r="E43" s="10" t="str">
        <x:v>Device keys generated and protected by trusted clients; no private keys are sent to WordPress.</x:v>
      </x:c>
      <x:c r="F43" s="10" t="str">
        <x:v>Adding a device requires strong authentication and sends a notification to existing trusted devices.</x:v>
      </x:c>
      <x:c r="G43" s="10" t="str">
        <x:v>Must</x:v>
      </x:c>
      <x:c r="H43" s="10" t="str">
        <x:v>Core</x:v>
      </x:c>
      <x:c r="I43" s="10" t="str">
        <x:v>Not started</x:v>
      </x:c>
      <x:c r="J43" s="10" t="str"/>
      <x:c r="K43" s="10" t="str"/>
      <x:c r="L43" s="10" t="str"/>
    </x:row>
    <x:row r="44" ht="54" customHeight="1">
      <x:c r="A44" s="10" t="str">
        <x:v>AUT-12</x:v>
      </x:c>
      <x:c r="B44" s="10" t="str">
        <x:v>Authentication, sessions and trusted devices</x:v>
      </x:c>
      <x:c r="C44" s="10" t="str">
        <x:v>Credential and session recovery</x:v>
      </x:c>
      <x:c r="D44" s="10" t="str">
        <x:v>Define documented user recovery, lost device, staff departure and emergency offboarding processes.</x:v>
      </x:c>
      <x:c r="E44" s="10" t="str">
        <x:v>Recovery is distinct for managed and zero-knowledge modes; approvals and delays are configurable.</x:v>
      </x:c>
      <x:c r="F44" s="10" t="str">
        <x:v>A lost-device drill demonstrates secure recovery without bypassing protected-mode rules.</x:v>
      </x:c>
      <x:c r="G44" s="10" t="str">
        <x:v>Must</x:v>
      </x:c>
      <x:c r="H44" s="10" t="str">
        <x:v>Core</x:v>
      </x:c>
      <x:c r="I44" s="10" t="str">
        <x:v>Not started</x:v>
      </x:c>
      <x:c r="J44" s="10" t="str"/>
      <x:c r="K44" s="10" t="str"/>
      <x:c r="L44" s="10" t="str"/>
    </x:row>
    <x:row r="45" ht="54" customHeight="1">
      <x:c r="A45" s="10" t="str">
        <x:v>AUT-13</x:v>
      </x:c>
      <x:c r="B45" s="10" t="str">
        <x:v>Authentication, sessions and trusted devices</x:v>
      </x:c>
      <x:c r="C45" s="10" t="str">
        <x:v>Guest identity federation</x:v>
      </x:c>
      <x:c r="D45" s="10" t="str">
        <x:v>Allow time-limited guest login via trusted external identity or passwordless invitation with verification.</x:v>
      </x:c>
      <x:c r="E45" s="10" t="str">
        <x:v>Tenant admins constrain invited domains and guest visibility; no anonymous group membership.</x:v>
      </x:c>
      <x:c r="F45" s="10" t="str">
        <x:v>Guest only sees explicitly shared resources and is removed on expiry.</x:v>
      </x:c>
      <x:c r="G45" s="10" t="str">
        <x:v>Should</x:v>
      </x:c>
      <x:c r="H45" s="10" t="str">
        <x:v>Enterprise</x:v>
      </x:c>
      <x:c r="I45" s="10" t="str">
        <x:v>Not started</x:v>
      </x:c>
      <x:c r="J45" s="10" t="str"/>
      <x:c r="K45" s="10" t="str"/>
      <x:c r="L45" s="10" t="str"/>
    </x:row>
    <x:row r="46" ht="54" customHeight="1">
      <x:c r="A46" s="10" t="str">
        <x:v>DOC-01</x:v>
      </x:c>
      <x:c r="B46" s="10" t="str">
        <x:v>Document capture, storage and lifecycle</x:v>
      </x:c>
      <x:c r="C46" s="10" t="str">
        <x:v>Upload and download</x:v>
      </x:c>
      <x:c r="D46" s="10" t="str">
        <x:v>Support secure single-file upload and authorized download with filenames, MIME detection, transfer integrity and progress feedback.</x:v>
      </x:c>
      <x:c r="E46" s="10" t="str">
        <x:v>Reject dangerous content/types by policy; do not expose directly addressable public media URLs.</x:v>
      </x:c>
      <x:c r="F46" s="10" t="str">
        <x:v>A user can upload then retrieve a permitted file and a denied user cannot read it.</x:v>
      </x:c>
      <x:c r="G46" s="10" t="str">
        <x:v>Must</x:v>
      </x:c>
      <x:c r="H46" s="10" t="str">
        <x:v>Core</x:v>
      </x:c>
      <x:c r="I46" s="10" t="str">
        <x:v>Not started</x:v>
      </x:c>
      <x:c r="J46" s="10" t="str"/>
      <x:c r="K46" s="10" t="str"/>
      <x:c r="L46" s="10" t="str"/>
    </x:row>
    <x:row r="47" ht="54" customHeight="1">
      <x:c r="A47" s="10" t="str">
        <x:v>DOC-02</x:v>
      </x:c>
      <x:c r="B47" s="10" t="str">
        <x:v>Document capture, storage and lifecycle</x:v>
      </x:c>
      <x:c r="C47" s="10" t="str">
        <x:v>Large and resumable uploads</x:v>
      </x:c>
      <x:c r="D47" s="10" t="str">
        <x:v>Use encrypted chunked uploads, restart support, integrity manifests and recoverable interrupted transfers.</x:v>
      </x:c>
      <x:c r="E47" s="10" t="str">
        <x:v>Temporary chunks are tenant-scoped, encrypted or plaintext-free, and expire automatically.</x:v>
      </x:c>
      <x:c r="F47" s="10" t="str">
        <x:v>Simulate lost connection during a large file transfer and resume without corruption.</x:v>
      </x:c>
      <x:c r="G47" s="10" t="str">
        <x:v>Should</x:v>
      </x:c>
      <x:c r="H47" s="10" t="str">
        <x:v>Enterprise</x:v>
      </x:c>
      <x:c r="I47" s="10" t="str">
        <x:v>Not started</x:v>
      </x:c>
      <x:c r="J47" s="10" t="str"/>
      <x:c r="K47" s="10" t="str"/>
      <x:c r="L47" s="10" t="str"/>
    </x:row>
    <x:row r="48" ht="54" customHeight="1">
      <x:c r="A48" s="10" t="str">
        <x:v>DOC-03</x:v>
      </x:c>
      <x:c r="B48" s="10" t="str">
        <x:v>Document capture, storage and lifecycle</x:v>
      </x:c>
      <x:c r="C48" s="10" t="str">
        <x:v>Common business formats</x:v>
      </x:c>
      <x:c r="D48" s="10" t="str">
        <x:v>Handle PDF, Office documents, images, text, email archives and approved CAD/media types as opaque files if rendering unavailable.</x:v>
      </x:c>
      <x:c r="E48" s="10" t="str">
        <x:v>File type detection relies on content analysis, not only extension; unsupported previews are clearly indicated.</x:v>
      </x:c>
      <x:c r="F48" s="10" t="str">
        <x:v>Each allowlisted format stores and downloads with verified byte integrity.</x:v>
      </x:c>
      <x:c r="G48" s="10" t="str">
        <x:v>Must</x:v>
      </x:c>
      <x:c r="H48" s="10" t="str">
        <x:v>Core</x:v>
      </x:c>
      <x:c r="I48" s="10" t="str">
        <x:v>Not started</x:v>
      </x:c>
      <x:c r="J48" s="10" t="str"/>
      <x:c r="K48" s="10" t="str"/>
      <x:c r="L48" s="10" t="str"/>
    </x:row>
    <x:row r="49" ht="54" customHeight="1">
      <x:c r="A49" s="10" t="str">
        <x:v>DOC-04</x:v>
      </x:c>
      <x:c r="B49" s="10" t="str">
        <x:v>Document capture, storage and lifecycle</x:v>
      </x:c>
      <x:c r="C49" s="10" t="str">
        <x:v>Folder hierarchy and libraries</x:v>
      </x:c>
      <x:c r="D49" s="10" t="str">
        <x:v>Create nested libraries, categories and folders with controlled naming, descriptions, sorting and shortcut references.</x:v>
      </x:c>
      <x:c r="E49" s="10" t="str">
        <x:v>No cross-tenant folder linking except via explicit sharing objects.</x:v>
      </x:c>
      <x:c r="F49" s="10" t="str">
        <x:v>Moving folders preserves IDs and recalculates inherited rights.</x:v>
      </x:c>
      <x:c r="G49" s="10" t="str">
        <x:v>Must</x:v>
      </x:c>
      <x:c r="H49" s="10" t="str">
        <x:v>Core</x:v>
      </x:c>
      <x:c r="I49" s="10" t="str">
        <x:v>Not started</x:v>
      </x:c>
      <x:c r="J49" s="10" t="str"/>
      <x:c r="K49" s="10" t="str"/>
      <x:c r="L49" s="10" t="str"/>
    </x:row>
    <x:row r="50" ht="54" customHeight="1">
      <x:c r="A50" s="10" t="str">
        <x:v>DOC-05</x:v>
      </x:c>
      <x:c r="B50" s="10" t="str">
        <x:v>Document capture, storage and lifecycle</x:v>
      </x:c>
      <x:c r="C50" s="10" t="str">
        <x:v>Document templates</x:v>
      </x:c>
      <x:c r="D50" s="10" t="str">
        <x:v>Provide subsidiary templates for policies, contracts, forms, meeting minutes and controlled document numbering.</x:v>
      </x:c>
      <x:c r="E50" s="10" t="str">
        <x:v>Template permissions and versions govern generated documents; sensitive variables stay scoped.</x:v>
      </x:c>
      <x:c r="F50" s="10" t="str">
        <x:v>Approved template can generate a new versioned draft with mandatory fields.</x:v>
      </x:c>
      <x:c r="G50" s="10" t="str">
        <x:v>Should</x:v>
      </x:c>
      <x:c r="H50" s="10" t="str">
        <x:v>Enterprise</x:v>
      </x:c>
      <x:c r="I50" s="10" t="str">
        <x:v>Not started</x:v>
      </x:c>
      <x:c r="J50" s="10" t="str"/>
      <x:c r="K50" s="10" t="str"/>
      <x:c r="L50" s="10" t="str"/>
    </x:row>
    <x:row r="51" ht="54" customHeight="1">
      <x:c r="A51" s="10" t="str">
        <x:v>DOC-06</x:v>
      </x:c>
      <x:c r="B51" s="10" t="str">
        <x:v>Document capture, storage and lifecycle</x:v>
      </x:c>
      <x:c r="C51" s="10" t="str">
        <x:v>Document registration</x:v>
      </x:c>
      <x:c r="D51" s="10" t="str">
        <x:v>Assign unique immutable document IDs, title, owner, creator, tenant, category, status and classification at intake.</x:v>
      </x:c>
      <x:c r="E51" s="10" t="str">
        <x:v>Server validates mandatory metadata and approved storage/crypto mode before committing.</x:v>
      </x:c>
      <x:c r="F51" s="10" t="str">
        <x:v>Missing required metadata blocks publication without orphaned files.</x:v>
      </x:c>
      <x:c r="G51" s="10" t="str">
        <x:v>Must</x:v>
      </x:c>
      <x:c r="H51" s="10" t="str">
        <x:v>Core</x:v>
      </x:c>
      <x:c r="I51" s="10" t="str">
        <x:v>Not started</x:v>
      </x:c>
      <x:c r="J51" s="10" t="str"/>
      <x:c r="K51" s="10" t="str"/>
      <x:c r="L51" s="10" t="str"/>
    </x:row>
    <x:row r="52" ht="54" customHeight="1">
      <x:c r="A52" s="10" t="str">
        <x:v>DOC-07</x:v>
      </x:c>
      <x:c r="B52" s="10" t="str">
        <x:v>Document capture, storage and lifecycle</x:v>
      </x:c>
      <x:c r="C52" s="10" t="str">
        <x:v>Batch upload and tagging</x:v>
      </x:c>
      <x:c r="D52" s="10" t="str">
        <x:v>Ingest folders or multiple files with a mapping preview for names, labels, owners and metadata.</x:v>
      </x:c>
      <x:c r="E52" s="10" t="str">
        <x:v>Batch actions do not bypass per-file virus, rights, quota or encryption checks.</x:v>
      </x:c>
      <x:c r="F52" s="10" t="str">
        <x:v>Bulk operation reports per-document success and recoverable failures.</x:v>
      </x:c>
      <x:c r="G52" s="10" t="str">
        <x:v>Should</x:v>
      </x:c>
      <x:c r="H52" s="10" t="str">
        <x:v>Enterprise</x:v>
      </x:c>
      <x:c r="I52" s="10" t="str">
        <x:v>Not started</x:v>
      </x:c>
      <x:c r="J52" s="10" t="str"/>
      <x:c r="K52" s="10" t="str"/>
      <x:c r="L52" s="10" t="str"/>
    </x:row>
    <x:row r="53" ht="54" customHeight="1">
      <x:c r="A53" s="10" t="str">
        <x:v>DOC-08</x:v>
      </x:c>
      <x:c r="B53" s="10" t="str">
        <x:v>Document capture, storage and lifecycle</x:v>
      </x:c>
      <x:c r="C53" s="10" t="str">
        <x:v>Automated email ingestion</x:v>
      </x:c>
      <x:c r="D53" s="10" t="str">
        <x:v>Convert authorized inbound messages and attachments into documents with thread metadata and source provenance.</x:v>
      </x:c>
      <x:c r="E53" s="10" t="str">
        <x:v>Approved domain routing, attachment policies and malware scanning apply; avoid storing confidential messages in logs.</x:v>
      </x:c>
      <x:c r="F53" s="10" t="str">
        <x:v>Message is ingested once with traceable source and tenant identity.</x:v>
      </x:c>
      <x:c r="G53" s="10" t="str">
        <x:v>Should</x:v>
      </x:c>
      <x:c r="H53" s="10" t="str">
        <x:v>Enterprise</x:v>
      </x:c>
      <x:c r="I53" s="10" t="str">
        <x:v>Not started</x:v>
      </x:c>
      <x:c r="J53" s="10" t="str"/>
      <x:c r="K53" s="10" t="str"/>
      <x:c r="L53" s="10" t="str"/>
    </x:row>
    <x:row r="54" ht="54" customHeight="1">
      <x:c r="A54" s="10" t="str">
        <x:v>DOC-09</x:v>
      </x:c>
      <x:c r="B54" s="10" t="str">
        <x:v>Document capture, storage and lifecycle</x:v>
      </x:c>
      <x:c r="C54" s="10" t="str">
        <x:v>Scanner and capture integration</x:v>
      </x:c>
      <x:c r="D54" s="10" t="str">
        <x:v>Accept scan jobs with OCR staging and metadata capture from approved scanners or capture stations.</x:v>
      </x:c>
      <x:c r="E54" s="10" t="str">
        <x:v>Scan processing for Zero-Knowledge content occurs on trusted endpoints only.</x:v>
      </x:c>
      <x:c r="F54" s="10" t="str">
        <x:v>Scanned pages produce a protected document and operator review queue.</x:v>
      </x:c>
      <x:c r="G54" s="10" t="str">
        <x:v>Advanced</x:v>
      </x:c>
      <x:c r="H54" s="10" t="str">
        <x:v>Expansion</x:v>
      </x:c>
      <x:c r="I54" s="10" t="str">
        <x:v>Not started</x:v>
      </x:c>
      <x:c r="J54" s="10" t="str"/>
      <x:c r="K54" s="10" t="str"/>
      <x:c r="L54" s="10" t="str"/>
    </x:row>
    <x:row r="55" ht="54" customHeight="1">
      <x:c r="A55" s="10" t="str">
        <x:v>DOC-10</x:v>
      </x:c>
      <x:c r="B55" s="10" t="str">
        <x:v>Document capture, storage and lifecycle</x:v>
      </x:c>
      <x:c r="C55" s="10" t="str">
        <x:v>Document status lifecycle</x:v>
      </x:c>
      <x:c r="D55" s="10" t="str">
        <x:v>Model Draft, In Review, Approved, Published, Superseded, Archived and Disposed with tenant-defined transition rules.</x:v>
      </x:c>
      <x:c r="E55" s="10" t="str">
        <x:v>Every transition checks document and workflow permission and produces audit evidence.</x:v>
      </x:c>
      <x:c r="F55" s="10" t="str">
        <x:v>Unauthorized transition fails and users see only allowed next actions.</x:v>
      </x:c>
      <x:c r="G55" s="10" t="str">
        <x:v>Must</x:v>
      </x:c>
      <x:c r="H55" s="10" t="str">
        <x:v>Core</x:v>
      </x:c>
      <x:c r="I55" s="10" t="str">
        <x:v>Not started</x:v>
      </x:c>
      <x:c r="J55" s="10" t="str"/>
      <x:c r="K55" s="10" t="str"/>
      <x:c r="L55" s="10" t="str"/>
    </x:row>
    <x:row r="56" ht="54" customHeight="1">
      <x:c r="A56" s="10" t="str">
        <x:v>DOC-11</x:v>
      </x:c>
      <x:c r="B56" s="10" t="str">
        <x:v>Document capture, storage and lifecycle</x:v>
      </x:c>
      <x:c r="C56" s="10" t="str">
        <x:v>Document ownership and custodian</x:v>
      </x:c>
      <x:c r="D56" s="10" t="str">
        <x:v>Assign business owner, steward and backup custodians with escalation policies.</x:v>
      </x:c>
      <x:c r="E56" s="10" t="str">
        <x:v>Document ownership does not automatically override classification or tenant isolation.</x:v>
      </x:c>
      <x:c r="F56" s="10" t="str">
        <x:v>Owner departure triggers reassignment workflow without orphaning document governance.</x:v>
      </x:c>
      <x:c r="G56" s="10" t="str">
        <x:v>Must</x:v>
      </x:c>
      <x:c r="H56" s="10" t="str">
        <x:v>Core</x:v>
      </x:c>
      <x:c r="I56" s="10" t="str">
        <x:v>Not started</x:v>
      </x:c>
      <x:c r="J56" s="10" t="str"/>
      <x:c r="K56" s="10" t="str"/>
      <x:c r="L56" s="10" t="str"/>
    </x:row>
    <x:row r="57" ht="54" customHeight="1">
      <x:c r="A57" s="10" t="str">
        <x:v>DOC-12</x:v>
      </x:c>
      <x:c r="B57" s="10" t="str">
        <x:v>Document capture, storage and lifecycle</x:v>
      </x:c>
      <x:c r="C57" s="10" t="str">
        <x:v>Move, copy and link</x:v>
      </x:c>
      <x:c r="D57" s="10" t="str">
        <x:v>Distinguish move, new copy and metadata shortcut; explain impacts on history, security, ownership and storage.</x:v>
      </x:c>
      <x:c r="E57" s="10" t="str">
        <x:v>Copy creates a new identifier and new security evaluation; cross-tenant copy needs consent and key handling.</x:v>
      </x:c>
      <x:c r="F57" s="10" t="str">
        <x:v>Audit identifies whether operation moved, copied or merely linked content.</x:v>
      </x:c>
      <x:c r="G57" s="10" t="str">
        <x:v>Must</x:v>
      </x:c>
      <x:c r="H57" s="10" t="str">
        <x:v>Core</x:v>
      </x:c>
      <x:c r="I57" s="10" t="str">
        <x:v>Not started</x:v>
      </x:c>
      <x:c r="J57" s="10" t="str"/>
      <x:c r="K57" s="10" t="str"/>
      <x:c r="L57" s="10" t="str"/>
    </x:row>
    <x:row r="58" ht="54" customHeight="1">
      <x:c r="A58" s="10" t="str">
        <x:v>DOC-13</x:v>
      </x:c>
      <x:c r="B58" s="10" t="str">
        <x:v>Document capture, storage and lifecycle</x:v>
      </x:c>
      <x:c r="C58" s="10" t="str">
        <x:v>Recycle bin and restoration</x:v>
      </x:c>
      <x:c r="D58" s="10" t="str">
        <x:v>Support reversible soft deletion with a retention window and controlled restore to same or permitted new location.</x:v>
      </x:c>
      <x:c r="E58" s="10" t="str">
        <x:v>Holds and immutable records prohibit unauthorized purge; restores do not reinstate revoked grants.</x:v>
      </x:c>
      <x:c r="F58" s="10" t="str">
        <x:v>Restored file retains provenance while following current permission policies.</x:v>
      </x:c>
      <x:c r="G58" s="10" t="str">
        <x:v>Must</x:v>
      </x:c>
      <x:c r="H58" s="10" t="str">
        <x:v>Core</x:v>
      </x:c>
      <x:c r="I58" s="10" t="str">
        <x:v>Not started</x:v>
      </x:c>
      <x:c r="J58" s="10" t="str"/>
      <x:c r="K58" s="10" t="str"/>
      <x:c r="L58" s="10" t="str"/>
    </x:row>
    <x:row r="59" ht="54" customHeight="1">
      <x:c r="A59" s="10" t="str">
        <x:v>DOC-14</x:v>
      </x:c>
      <x:c r="B59" s="10" t="str">
        <x:v>Document capture, storage and lifecycle</x:v>
      </x:c>
      <x:c r="C59" s="10" t="str">
        <x:v>Duplicates and fingerprinting</x:v>
      </x:c>
      <x:c r="D59" s="10" t="str">
        <x:v>Detect likely duplicate content and optional matching metadata without revealing protected document existence across tenants.</x:v>
      </x:c>
      <x:c r="E59" s="10" t="str">
        <x:v>Global deduplication must not create equality or membership side channels for confidential content.</x:v>
      </x:c>
      <x:c r="F59" s="10" t="str">
        <x:v>Duplicate hints appear only for files the user can already access.</x:v>
      </x:c>
      <x:c r="G59" s="10" t="str">
        <x:v>Should</x:v>
      </x:c>
      <x:c r="H59" s="10" t="str">
        <x:v>Enterprise</x:v>
      </x:c>
      <x:c r="I59" s="10" t="str">
        <x:v>Not started</x:v>
      </x:c>
      <x:c r="J59" s="10" t="str"/>
      <x:c r="K59" s="10" t="str"/>
      <x:c r="L59" s="10" t="str"/>
    </x:row>
    <x:row r="60" ht="54" customHeight="1">
      <x:c r="A60" s="10" t="str">
        <x:v>DOC-15</x:v>
      </x:c>
      <x:c r="B60" s="10" t="str">
        <x:v>Document capture, storage and lifecycle</x:v>
      </x:c>
      <x:c r="C60" s="10" t="str">
        <x:v>Integrity verification</x:v>
      </x:c>
      <x:c r="D60" s="10" t="str">
        <x:v>Record authenticated hashes or integrity manifests for encrypted objects and versions and verify them on fetch.</x:v>
      </x:c>
      <x:c r="E60" s="10" t="str">
        <x:v>Do not expose sensitive equality hashes to unauthorized users.</x:v>
      </x:c>
      <x:c r="F60" s="10" t="str">
        <x:v>Modified ciphertext or a missing chunk causes a clear integrity failure and alert.</x:v>
      </x:c>
      <x:c r="G60" s="10" t="str">
        <x:v>Must</x:v>
      </x:c>
      <x:c r="H60" s="10" t="str">
        <x:v>Core</x:v>
      </x:c>
      <x:c r="I60" s="10" t="str">
        <x:v>Not started</x:v>
      </x:c>
      <x:c r="J60" s="10" t="str"/>
      <x:c r="K60" s="10" t="str"/>
      <x:c r="L60" s="10" t="str"/>
    </x:row>
    <x:row r="61" ht="54" customHeight="1">
      <x:c r="A61" s="10" t="str">
        <x:v>DOC-16</x:v>
      </x:c>
      <x:c r="B61" s="10" t="str">
        <x:v>Document capture, storage and lifecycle</x:v>
      </x:c>
      <x:c r="C61" s="10" t="str">
        <x:v>Metadata-only records</x:v>
      </x:c>
      <x:c r="D61" s="10" t="str">
        <x:v>Allow records for physical archives, external system references, boxes and paper documents without uploading a digital file.</x:v>
      </x:c>
      <x:c r="E61" s="10" t="str">
        <x:v>External links do not inherit implicit external credentials.</x:v>
      </x:c>
      <x:c r="F61" s="10" t="str">
        <x:v>Create and track a physical-record item with retention and ownership.</x:v>
      </x:c>
      <x:c r="G61" s="10" t="str">
        <x:v>Should</x:v>
      </x:c>
      <x:c r="H61" s="10" t="str">
        <x:v>Enterprise</x:v>
      </x:c>
      <x:c r="I61" s="10" t="str">
        <x:v>Not started</x:v>
      </x:c>
      <x:c r="J61" s="10" t="str"/>
      <x:c r="K61" s="10" t="str"/>
      <x:c r="L61" s="10" t="str"/>
    </x:row>
    <x:row r="62" ht="54" customHeight="1">
      <x:c r="A62" s="10" t="str">
        <x:v>DOC-17</x:v>
      </x:c>
      <x:c r="B62" s="10" t="str">
        <x:v>Document capture, storage and lifecycle</x:v>
      </x:c>
      <x:c r="C62" s="10" t="str">
        <x:v>Document bundles and dossiers</x:v>
      </x:c>
      <x:c r="D62" s="10" t="str">
        <x:v>Build ordered virtual binders for board packs, cases, projects, annual reports or audit evidence.</x:v>
      </x:c>
      <x:c r="E62" s="10" t="str">
        <x:v>A binder grants no implicit access to its protected members.</x:v>
      </x:c>
      <x:c r="F62" s="10" t="str">
        <x:v>Recipient sees only documents individually authorized within a shared dossier.</x:v>
      </x:c>
      <x:c r="G62" s="10" t="str">
        <x:v>Should</x:v>
      </x:c>
      <x:c r="H62" s="10" t="str">
        <x:v>Enterprise</x:v>
      </x:c>
      <x:c r="I62" s="10" t="str">
        <x:v>Not started</x:v>
      </x:c>
      <x:c r="J62" s="10" t="str"/>
      <x:c r="K62" s="10" t="str"/>
      <x:c r="L62" s="10" t="str"/>
    </x:row>
    <x:row r="63" ht="54" customHeight="1">
      <x:c r="A63" s="10" t="str">
        <x:v>DOC-18</x:v>
      </x:c>
      <x:c r="B63" s="10" t="str">
        <x:v>Document capture, storage and lifecycle</x:v>
      </x:c>
      <x:c r="C63" s="10" t="str">
        <x:v>Controlled document numbering</x:v>
      </x:c>
      <x:c r="D63" s="10" t="str">
        <x:v>Generate patterns by tenant, department, class, year and sequence with collision-proof issuance.</x:v>
      </x:c>
      <x:c r="E63" s="10" t="str">
        <x:v>Numbers remain immutable after publication and never reused after deletion.</x:v>
      </x:c>
      <x:c r="F63" s="10" t="str">
        <x:v>Concurrent numbering requests issue unique sequential references per policy.</x:v>
      </x:c>
      <x:c r="G63" s="10" t="str">
        <x:v>Should</x:v>
      </x:c>
      <x:c r="H63" s="10" t="str">
        <x:v>Enterprise</x:v>
      </x:c>
      <x:c r="I63" s="10" t="str">
        <x:v>Not started</x:v>
      </x:c>
      <x:c r="J63" s="10" t="str"/>
      <x:c r="K63" s="10" t="str"/>
      <x:c r="L63" s="10" t="str"/>
    </x:row>
    <x:row r="64" ht="54" customHeight="1">
      <x:c r="A64" s="10" t="str">
        <x:v>DOC-19</x:v>
      </x:c>
      <x:c r="B64" s="10" t="str">
        <x:v>Document capture, storage and lifecycle</x:v>
      </x:c>
      <x:c r="C64" s="10" t="str">
        <x:v>File size and type policy</x:v>
      </x:c>
      <x:c r="D64" s="10" t="str">
        <x:v>Configure limits by organization, collection and classification with safe defaults and clear error messages.</x:v>
      </x:c>
      <x:c r="E64" s="10" t="str">
        <x:v>Client and server enforce limits; chunk sessions cannot evade size checks.</x:v>
      </x:c>
      <x:c r="F64" s="10" t="str">
        <x:v>Attempt to upload forbidden type or oversized file fails at final validation.</x:v>
      </x:c>
      <x:c r="G64" s="10" t="str">
        <x:v>Must</x:v>
      </x:c>
      <x:c r="H64" s="10" t="str">
        <x:v>Core</x:v>
      </x:c>
      <x:c r="I64" s="10" t="str">
        <x:v>Not started</x:v>
      </x:c>
      <x:c r="J64" s="10" t="str"/>
      <x:c r="K64" s="10" t="str"/>
      <x:c r="L64" s="10" t="str"/>
    </x:row>
    <x:row r="65" ht="54" customHeight="1">
      <x:c r="A65" s="10" t="str">
        <x:v>DOC-20</x:v>
      </x:c>
      <x:c r="B65" s="10" t="str">
        <x:v>Document capture, storage and lifecycle</x:v>
      </x:c>
      <x:c r="C65" s="10" t="str">
        <x:v>Document expiration and review</x:v>
      </x:c>
      <x:c r="D65" s="10" t="str">
        <x:v>Add review dates, expiry dates, reminders and mandatory periodic policy-document recertification.</x:v>
      </x:c>
      <x:c r="E65" s="10" t="str">
        <x:v>Expiration changes discoverability and use rights according to explicit tenant policy.</x:v>
      </x:c>
      <x:c r="F65" s="10" t="str">
        <x:v>Reviewer receives escalation and superseded policy is removed from current guidance.</x:v>
      </x:c>
      <x:c r="G65" s="10" t="str">
        <x:v>Should</x:v>
      </x:c>
      <x:c r="H65" s="10" t="str">
        <x:v>Enterprise</x:v>
      </x:c>
      <x:c r="I65" s="10" t="str">
        <x:v>Not started</x:v>
      </x:c>
      <x:c r="J65" s="10" t="str"/>
      <x:c r="K65" s="10" t="str"/>
      <x:c r="L65" s="10" t="str"/>
    </x:row>
    <x:row r="66" ht="54" customHeight="1">
      <x:c r="A66" s="10" t="str">
        <x:v>DOC-21</x:v>
      </x:c>
      <x:c r="B66" s="10" t="str">
        <x:v>Document capture, storage and lifecycle</x:v>
      </x:c>
      <x:c r="C66" s="10" t="str">
        <x:v>Protected previews</x:v>
      </x:c>
      <x:c r="D66" s="10" t="str">
        <x:v>Render previews only when authorized, without persistent unprotected public thumbnails or conversion caches.</x:v>
      </x:c>
      <x:c r="E66" s="10" t="str">
        <x:v>Zero-Knowledge previews are generated locally; managed previews are isolated and ephemeral.</x:v>
      </x:c>
      <x:c r="F66" s="10" t="str">
        <x:v>Protected preview cannot be fetched by URL after permission revocation.</x:v>
      </x:c>
      <x:c r="G66" s="10" t="str">
        <x:v>Must</x:v>
      </x:c>
      <x:c r="H66" s="10" t="str">
        <x:v>Core</x:v>
      </x:c>
      <x:c r="I66" s="10" t="str">
        <x:v>Not started</x:v>
      </x:c>
      <x:c r="J66" s="10" t="str"/>
      <x:c r="K66" s="10" t="str"/>
      <x:c r="L66" s="10" t="str"/>
    </x:row>
    <x:row r="67" ht="54" customHeight="1">
      <x:c r="A67" s="10" t="str">
        <x:v>DOC-22</x:v>
      </x:c>
      <x:c r="B67" s="10" t="str">
        <x:v>Document capture, storage and lifecycle</x:v>
      </x:c>
      <x:c r="C67" s="10" t="str">
        <x:v>Content redaction</x:v>
      </x:c>
      <x:c r="D67" s="10" t="str">
        <x:v>Allow permanent derivative redacted versions for external sharing, with preview-and-verify workflow.</x:v>
      </x:c>
      <x:c r="E67" s="10" t="str">
        <x:v>Redaction must remove underlying text, metadata and hidden layers; preserve original under separate rights.</x:v>
      </x:c>
      <x:c r="F67" s="10" t="str">
        <x:v>Automated extraction of redacted output cannot recover removed content.</x:v>
      </x:c>
      <x:c r="G67" s="10" t="str">
        <x:v>Should</x:v>
      </x:c>
      <x:c r="H67" s="10" t="str">
        <x:v>Enterprise</x:v>
      </x:c>
      <x:c r="I67" s="10" t="str">
        <x:v>Not started</x:v>
      </x:c>
      <x:c r="J67" s="10" t="str"/>
      <x:c r="K67" s="10" t="str"/>
      <x:c r="L67" s="10" t="str"/>
    </x:row>
    <x:row r="68" ht="54" customHeight="1">
      <x:c r="A68" s="10" t="str">
        <x:v>MET-01</x:v>
      </x:c>
      <x:c r="B68" s="10" t="str">
        <x:v>Metadata, taxonomy and information discovery</x:v>
      </x:c>
      <x:c r="C68" s="10" t="str">
        <x:v>Custom metadata schemas</x:v>
      </x:c>
      <x:c r="D68" s="10" t="str">
        <x:v>Define structured fields per document type: text, date, number, select, reference, currency, user, jurisdiction and controlled lists.</x:v>
      </x:c>
      <x:c r="E68" s="10" t="str">
        <x:v>Schema validation occurs server-side and confidential fields follow field-level access policies.</x:v>
      </x:c>
      <x:c r="F68" s="10" t="str">
        <x:v>Schema edits include migration preview and preservation of existing versions.</x:v>
      </x:c>
      <x:c r="G68" s="10" t="str">
        <x:v>Must</x:v>
      </x:c>
      <x:c r="H68" s="10" t="str">
        <x:v>Core</x:v>
      </x:c>
      <x:c r="I68" s="10" t="str">
        <x:v>Not started</x:v>
      </x:c>
      <x:c r="J68" s="10" t="str"/>
      <x:c r="K68" s="10" t="str"/>
      <x:c r="L68" s="10" t="str"/>
    </x:row>
    <x:row r="69" ht="54" customHeight="1">
      <x:c r="A69" s="10" t="str">
        <x:v>MET-02</x:v>
      </x:c>
      <x:c r="B69" s="10" t="str">
        <x:v>Metadata, taxonomy and information discovery</x:v>
      </x:c>
      <x:c r="C69" s="10" t="str">
        <x:v>Required and conditional metadata</x:v>
      </x:c>
      <x:c r="D69" s="10" t="str">
        <x:v>Require fields based on category, lifecycle state, sensitivity, source and owning department.</x:v>
      </x:c>
      <x:c r="E69" s="10" t="str">
        <x:v>Untrusted client values cannot bypass conditional validation.</x:v>
      </x:c>
      <x:c r="F69" s="10" t="str">
        <x:v>A contract cannot be approved without counterparty and effective date fields.</x:v>
      </x:c>
      <x:c r="G69" s="10" t="str">
        <x:v>Must</x:v>
      </x:c>
      <x:c r="H69" s="10" t="str">
        <x:v>Core</x:v>
      </x:c>
      <x:c r="I69" s="10" t="str">
        <x:v>Not started</x:v>
      </x:c>
      <x:c r="J69" s="10" t="str"/>
      <x:c r="K69" s="10" t="str"/>
      <x:c r="L69" s="10" t="str"/>
    </x:row>
    <x:row r="70" ht="54" customHeight="1">
      <x:c r="A70" s="10" t="str">
        <x:v>MET-03</x:v>
      </x:c>
      <x:c r="B70" s="10" t="str">
        <x:v>Metadata, taxonomy and information discovery</x:v>
      </x:c>
      <x:c r="C70" s="10" t="str">
        <x:v>Controlled vocabularies</x:v>
      </x:c>
      <x:c r="D70" s="10" t="str">
        <x:v>Create hierarchical taxonomies, synonyms, aliases and deprecated terms with governance approval.</x:v>
      </x:c>
      <x:c r="E70" s="10" t="str">
        <x:v>Taxonomy changes are versioned and do not relax access controls.</x:v>
      </x:c>
      <x:c r="F70" s="10" t="str">
        <x:v>Deprecated tag resolves to a valid replacement without losing historic searches.</x:v>
      </x:c>
      <x:c r="G70" s="10" t="str">
        <x:v>Should</x:v>
      </x:c>
      <x:c r="H70" s="10" t="str">
        <x:v>Enterprise</x:v>
      </x:c>
      <x:c r="I70" s="10" t="str">
        <x:v>Not started</x:v>
      </x:c>
      <x:c r="J70" s="10" t="str"/>
      <x:c r="K70" s="10" t="str"/>
      <x:c r="L70" s="10" t="str"/>
    </x:row>
    <x:row r="71" ht="54" customHeight="1">
      <x:c r="A71" s="10" t="str">
        <x:v>MET-04</x:v>
      </x:c>
      <x:c r="B71" s="10" t="str">
        <x:v>Metadata, taxonomy and information discovery</x:v>
      </x:c>
      <x:c r="C71" s="10" t="str">
        <x:v>Saved views and smart folders</x:v>
      </x:c>
      <x:c r="D71" s="10" t="str">
        <x:v>Let users build dynamic views from filters without moving files or changing rights.</x:v>
      </x:c>
      <x:c r="E71" s="10" t="str">
        <x:v>Result sets are always trimmed by current authorization.</x:v>
      </x:c>
      <x:c r="F71" s="10" t="str">
        <x:v>Smart view updates as metadata changes and excludes newly forbidden documents.</x:v>
      </x:c>
      <x:c r="G71" s="10" t="str">
        <x:v>Should</x:v>
      </x:c>
      <x:c r="H71" s="10" t="str">
        <x:v>Enterprise</x:v>
      </x:c>
      <x:c r="I71" s="10" t="str">
        <x:v>Not started</x:v>
      </x:c>
      <x:c r="J71" s="10" t="str"/>
      <x:c r="K71" s="10" t="str"/>
      <x:c r="L71" s="10" t="str"/>
    </x:row>
    <x:row r="72" ht="54" customHeight="1">
      <x:c r="A72" s="10" t="str">
        <x:v>MET-05</x:v>
      </x:c>
      <x:c r="B72" s="10" t="str">
        <x:v>Metadata, taxonomy and information discovery</x:v>
      </x:c>
      <x:c r="C72" s="10" t="str">
        <x:v>Advanced metadata search</x:v>
      </x:c>
      <x:c r="D72" s="10" t="str">
        <x:v>Search titles, tags, dates, types, users, references and relationships with Boolean filters and facets.</x:v>
      </x:c>
      <x:c r="E72" s="10" t="str">
        <x:v>Query timing, autocomplete and facets must not disclose inaccessible content counts or titles.</x:v>
      </x:c>
      <x:c r="F72" s="10" t="str">
        <x:v>Two users receive appropriately different filtered results for same query.</x:v>
      </x:c>
      <x:c r="G72" s="10" t="str">
        <x:v>Must</x:v>
      </x:c>
      <x:c r="H72" s="10" t="str">
        <x:v>Core</x:v>
      </x:c>
      <x:c r="I72" s="10" t="str">
        <x:v>Not started</x:v>
      </x:c>
      <x:c r="J72" s="10" t="str"/>
      <x:c r="K72" s="10" t="str"/>
      <x:c r="L72" s="10" t="str"/>
    </x:row>
    <x:row r="73" ht="54" customHeight="1">
      <x:c r="A73" s="10" t="str">
        <x:v>MET-06</x:v>
      </x:c>
      <x:c r="B73" s="10" t="str">
        <x:v>Metadata, taxonomy and information discovery</x:v>
      </x:c>
      <x:c r="C73" s="10" t="str">
        <x:v>Full-text indexing in managed mode</x:v>
      </x:c>
      <x:c r="D73" s="10" t="str">
        <x:v>Index authorized parsed plaintext inside separately protected services and filter results before response.</x:v>
      </x:c>
      <x:c r="E73" s="10" t="str">
        <x:v>Index at rest and transport are protected; no unencrypted WordPress search replication.</x:v>
      </x:c>
      <x:c r="F73" s="10" t="str">
        <x:v>Rights revocation removes document from search results within the defined propagation SLA.</x:v>
      </x:c>
      <x:c r="G73" s="10" t="str">
        <x:v>Should</x:v>
      </x:c>
      <x:c r="H73" s="10" t="str">
        <x:v>Enterprise</x:v>
      </x:c>
      <x:c r="I73" s="10" t="str">
        <x:v>Not started</x:v>
      </x:c>
      <x:c r="J73" s="10" t="str"/>
      <x:c r="K73" s="10" t="str"/>
      <x:c r="L73" s="10" t="str"/>
    </x:row>
    <x:row r="74" ht="54" customHeight="1">
      <x:c r="A74" s="10" t="str">
        <x:v>MET-07</x:v>
      </x:c>
      <x:c r="B74" s="10" t="str">
        <x:v>Metadata, taxonomy and information discovery</x:v>
      </x:c>
      <x:c r="C74" s="10" t="str">
        <x:v>Zero-Knowledge discovery</x:v>
      </x:c>
      <x:c r="D74" s="10" t="str">
        <x:v>Offer client-side per-user encrypted indexes, opt-in safe metadata indexes or limited blind-index design with documented leakage.</x:v>
      </x:c>
      <x:c r="E74" s="10" t="str">
        <x:v>Never falsely advertise arbitrary server-side plaintext search in Zero-Knowledge Mode.</x:v>
      </x:c>
      <x:c r="F74" s="10" t="str">
        <x:v>User can retrieve a protected document without service-side access to readable full text.</x:v>
      </x:c>
      <x:c r="G74" s="10" t="str">
        <x:v>Must</x:v>
      </x:c>
      <x:c r="H74" s="10" t="str">
        <x:v>Core</x:v>
      </x:c>
      <x:c r="I74" s="10" t="str">
        <x:v>Not started</x:v>
      </x:c>
      <x:c r="J74" s="10" t="str"/>
      <x:c r="K74" s="10" t="str"/>
      <x:c r="L74" s="10" t="str"/>
    </x:row>
    <x:row r="75" ht="54" customHeight="1">
      <x:c r="A75" s="10" t="str">
        <x:v>MET-08</x:v>
      </x:c>
      <x:c r="B75" s="10" t="str">
        <x:v>Metadata, taxonomy and information discovery</x:v>
      </x:c>
      <x:c r="C75" s="10" t="str">
        <x:v>OCR and extraction</x:v>
      </x:c>
      <x:c r="D75" s="10" t="str">
        <x:v>Extract text and selected fields for managed-mode scans with operator correction and confidence scores.</x:v>
      </x:c>
      <x:c r="E75" s="10" t="str">
        <x:v>OCR of zero-knowledge files happens only on trusted clients or after explicitly authorized processing-mode change.</x:v>
      </x:c>
      <x:c r="F75" s="10" t="str">
        <x:v>A low-confidence extracted field remains unapproved until reviewed.</x:v>
      </x:c>
      <x:c r="G75" s="10" t="str">
        <x:v>Should</x:v>
      </x:c>
      <x:c r="H75" s="10" t="str">
        <x:v>Enterprise</x:v>
      </x:c>
      <x:c r="I75" s="10" t="str">
        <x:v>Not started</x:v>
      </x:c>
      <x:c r="J75" s="10" t="str"/>
      <x:c r="K75" s="10" t="str"/>
      <x:c r="L75" s="10" t="str"/>
    </x:row>
    <x:row r="76" ht="54" customHeight="1">
      <x:c r="A76" s="10" t="str">
        <x:v>MET-09</x:v>
      </x:c>
      <x:c r="B76" s="10" t="str">
        <x:v>Metadata, taxonomy and information discovery</x:v>
      </x:c>
      <x:c r="C76" s="10" t="str">
        <x:v>Multilingual search</x:v>
      </x:c>
      <x:c r="D76" s="10" t="str">
        <x:v>Support Unicode normalization, language-aware tokenization, stemming where reliable and localized synonyms.</x:v>
      </x:c>
      <x:c r="E76" s="10" t="str">
        <x:v>Search terms and user-specific indexes are scoped and logged without exposing confidential queries.</x:v>
      </x:c>
      <x:c r="F76" s="10" t="str">
        <x:v>Search returns expected results in all supported scripts on test corpora.</x:v>
      </x:c>
      <x:c r="G76" s="10" t="str">
        <x:v>Should</x:v>
      </x:c>
      <x:c r="H76" s="10" t="str">
        <x:v>Enterprise</x:v>
      </x:c>
      <x:c r="I76" s="10" t="str">
        <x:v>Not started</x:v>
      </x:c>
      <x:c r="J76" s="10" t="str"/>
      <x:c r="K76" s="10" t="str"/>
      <x:c r="L76" s="10" t="str"/>
    </x:row>
    <x:row r="77" ht="54" customHeight="1">
      <x:c r="A77" s="10" t="str">
        <x:v>MET-10</x:v>
      </x:c>
      <x:c r="B77" s="10" t="str">
        <x:v>Metadata, taxonomy and information discovery</x:v>
      </x:c>
      <x:c r="C77" s="10" t="str">
        <x:v>Document relationships</x:v>
      </x:c>
      <x:c r="D77" s="10" t="str">
        <x:v>Link contracts to amendments, policies to procedures, board decisions to supporting evidence and documents to business entities.</x:v>
      </x:c>
      <x:c r="E77" s="10" t="str">
        <x:v>Relationship existence is filtered for both endpoints; cannot disclose hidden targets.</x:v>
      </x:c>
      <x:c r="F77" s="10" t="str">
        <x:v>Unauthorized referenced record shows a restricted placeholder, not its title.</x:v>
      </x:c>
      <x:c r="G77" s="10" t="str">
        <x:v>Should</x:v>
      </x:c>
      <x:c r="H77" s="10" t="str">
        <x:v>Enterprise</x:v>
      </x:c>
      <x:c r="I77" s="10" t="str">
        <x:v>Not started</x:v>
      </x:c>
      <x:c r="J77" s="10" t="str"/>
      <x:c r="K77" s="10" t="str"/>
      <x:c r="L77" s="10" t="str"/>
    </x:row>
    <x:row r="78" ht="54" customHeight="1">
      <x:c r="A78" s="10" t="str">
        <x:v>MET-11</x:v>
      </x:c>
      <x:c r="B78" s="10" t="str">
        <x:v>Metadata, taxonomy and information discovery</x:v>
      </x:c>
      <x:c r="C78" s="10" t="str">
        <x:v>Knowledge graph and lineage</x:v>
      </x:c>
      <x:c r="D78" s="10" t="str">
        <x:v>Maintain typed relations among documents, people, processes, projects, decisions and records.</x:v>
      </x:c>
      <x:c r="E78" s="10" t="str">
        <x:v>Inferred graph edges respect original access labels and tenant isolation.</x:v>
      </x:c>
      <x:c r="F78" s="10" t="str">
        <x:v>A graph query never reveals protected nodes through degree or auto-complete leakage.</x:v>
      </x:c>
      <x:c r="G78" s="10" t="str">
        <x:v>Advanced</x:v>
      </x:c>
      <x:c r="H78" s="10" t="str">
        <x:v>Expansion</x:v>
      </x:c>
      <x:c r="I78" s="10" t="str">
        <x:v>Not started</x:v>
      </x:c>
      <x:c r="J78" s="10" t="str"/>
      <x:c r="K78" s="10" t="str"/>
      <x:c r="L78" s="10" t="str"/>
    </x:row>
    <x:row r="79" ht="54" customHeight="1">
      <x:c r="A79" s="10" t="str">
        <x:v>MET-12</x:v>
      </x:c>
      <x:c r="B79" s="10" t="str">
        <x:v>Metadata, taxonomy and information discovery</x:v>
      </x:c>
      <x:c r="C79" s="10" t="str">
        <x:v>Duplicate topic detection</x:v>
      </x:c>
      <x:c r="D79" s="10" t="str">
        <x:v>Suggest merging overlapping articles or competing current policies based on permitted corpora.</x:v>
      </x:c>
      <x:c r="E79" s="10" t="str">
        <x:v>Similarity computations respect security mode and must not leak inaccessible embeddings or snippets.</x:v>
      </x:c>
      <x:c r="F79" s="10" t="str">
        <x:v>Suggestions include rationale and require human approval before consolidation.</x:v>
      </x:c>
      <x:c r="G79" s="10" t="str">
        <x:v>Advanced</x:v>
      </x:c>
      <x:c r="H79" s="10" t="str">
        <x:v>Expansion</x:v>
      </x:c>
      <x:c r="I79" s="10" t="str">
        <x:v>Not started</x:v>
      </x:c>
      <x:c r="J79" s="10" t="str"/>
      <x:c r="K79" s="10" t="str"/>
      <x:c r="L79" s="10" t="str"/>
    </x:row>
    <x:row r="80" ht="54" customHeight="1">
      <x:c r="A80" s="10" t="str">
        <x:v>MET-13</x:v>
      </x:c>
      <x:c r="B80" s="10" t="str">
        <x:v>Metadata, taxonomy and information discovery</x:v>
      </x:c>
      <x:c r="C80" s="10" t="str">
        <x:v>Search relevance tuning</x:v>
      </x:c>
      <x:c r="D80" s="10" t="str">
        <x:v>Provide business synonyms, field weights, recency rules and boosts for approved canonical guidance.</x:v>
      </x:c>
      <x:c r="E80" s="10" t="str">
        <x:v>Protected records never become visible because of relevance or popularity boosts.</x:v>
      </x:c>
      <x:c r="F80" s="10" t="str">
        <x:v>Authorized administrator can compare ranking changes using a safe test dataset.</x:v>
      </x:c>
      <x:c r="G80" s="10" t="str">
        <x:v>Should</x:v>
      </x:c>
      <x:c r="H80" s="10" t="str">
        <x:v>Enterprise</x:v>
      </x:c>
      <x:c r="I80" s="10" t="str">
        <x:v>Not started</x:v>
      </x:c>
      <x:c r="J80" s="10" t="str"/>
      <x:c r="K80" s="10" t="str"/>
      <x:c r="L80" s="10" t="str"/>
    </x:row>
    <x:row r="81" ht="54" customHeight="1">
      <x:c r="A81" s="10" t="str">
        <x:v>MET-14</x:v>
      </x:c>
      <x:c r="B81" s="10" t="str">
        <x:v>Metadata, taxonomy and information discovery</x:v>
      </x:c>
      <x:c r="C81" s="10" t="str">
        <x:v>Search history and favorites</x:v>
      </x:c>
      <x:c r="D81" s="10" t="str">
        <x:v>Save user favorites, recent queries and collections with clear private-versus-shared controls.</x:v>
      </x:c>
      <x:c r="E81" s="10" t="str">
        <x:v>Private histories stay user-scoped, encryptable and subject to privacy retention rules.</x:v>
      </x:c>
      <x:c r="F81" s="10" t="str">
        <x:v>Clearing personal history removes it from active interfaces and eligible stores.</x:v>
      </x:c>
      <x:c r="G81" s="10" t="str">
        <x:v>Should</x:v>
      </x:c>
      <x:c r="H81" s="10" t="str">
        <x:v>Enterprise</x:v>
      </x:c>
      <x:c r="I81" s="10" t="str">
        <x:v>Not started</x:v>
      </x:c>
      <x:c r="J81" s="10" t="str"/>
      <x:c r="K81" s="10" t="str"/>
      <x:c r="L81" s="10" t="str"/>
    </x:row>
    <x:row r="82" ht="54" customHeight="1">
      <x:c r="A82" s="10" t="str">
        <x:v>MET-15</x:v>
      </x:c>
      <x:c r="B82" s="10" t="str">
        <x:v>Metadata, taxonomy and information discovery</x:v>
      </x:c>
      <x:c r="C82" s="10" t="str">
        <x:v>Content provenance</x:v>
      </x:c>
      <x:c r="D82" s="10" t="str">
        <x:v>Track original source, capture time, imported system ID, transformations, approvals and evidence chain.</x:v>
      </x:c>
      <x:c r="E82" s="10" t="str">
        <x:v>Provenance records are append-only where required and signed where appropriate.</x:v>
      </x:c>
      <x:c r="F82" s="10" t="str">
        <x:v>Auditor verifies a document's chain from ingestion through publication.</x:v>
      </x:c>
      <x:c r="G82" s="10" t="str">
        <x:v>Must</x:v>
      </x:c>
      <x:c r="H82" s="10" t="str">
        <x:v>Core</x:v>
      </x:c>
      <x:c r="I82" s="10" t="str">
        <x:v>Not started</x:v>
      </x:c>
      <x:c r="J82" s="10" t="str"/>
      <x:c r="K82" s="10" t="str"/>
      <x:c r="L82" s="10" t="str"/>
    </x:row>
    <x:row r="83" ht="54" customHeight="1">
      <x:c r="A83" s="10" t="str">
        <x:v>MET-16</x:v>
      </x:c>
      <x:c r="B83" s="10" t="str">
        <x:v>Metadata, taxonomy and information discovery</x:v>
      </x:c>
      <x:c r="C83" s="10" t="str">
        <x:v>Information-quality indicators</x:v>
      </x:c>
      <x:c r="D83" s="10" t="str">
        <x:v>Show verified owner, reviewed date, citation status, freshness, confidentiality and canonical source markers.</x:v>
      </x:c>
      <x:c r="E83" s="10" t="str">
        <x:v>Quality scores are not treated as access permissions or legal compliance certification.</x:v>
      </x:c>
      <x:c r="F83" s="10" t="str">
        <x:v>Stale information is flagged while historical approved versions remain accessible to authorized users.</x:v>
      </x:c>
      <x:c r="G83" s="10" t="str">
        <x:v>Should</x:v>
      </x:c>
      <x:c r="H83" s="10" t="str">
        <x:v>Enterprise</x:v>
      </x:c>
      <x:c r="I83" s="10" t="str">
        <x:v>Not started</x:v>
      </x:c>
      <x:c r="J83" s="10" t="str"/>
      <x:c r="K83" s="10" t="str"/>
      <x:c r="L83" s="10" t="str"/>
    </x:row>
    <x:row r="84" ht="54" customHeight="1">
      <x:c r="A84" s="10" t="str">
        <x:v>COL-01</x:v>
      </x:c>
      <x:c r="B84" s="10" t="str">
        <x:v>Editing, collaboration and version control</x:v>
      </x:c>
      <x:c r="C84" s="10" t="str">
        <x:v>Immutable version history</x:v>
      </x:c>
      <x:c r="D84" s="10" t="str">
        <x:v>Store new encrypted objects for each committed version with author, timestamp, parent version and reason.</x:v>
      </x:c>
      <x:c r="E84" s="10" t="str">
        <x:v>Old versions inherit current access restrictions unless explicitly stricter historical rules apply.</x:v>
      </x:c>
      <x:c r="F84" s="10" t="str">
        <x:v>Auditor can verify unchanged prior bytes and full version lineage.</x:v>
      </x:c>
      <x:c r="G84" s="10" t="str">
        <x:v>Must</x:v>
      </x:c>
      <x:c r="H84" s="10" t="str">
        <x:v>Core</x:v>
      </x:c>
      <x:c r="I84" s="10" t="str">
        <x:v>Not started</x:v>
      </x:c>
      <x:c r="J84" s="10" t="str"/>
      <x:c r="K84" s="10" t="str"/>
      <x:c r="L84" s="10" t="str"/>
    </x:row>
    <x:row r="85" ht="54" customHeight="1">
      <x:c r="A85" s="10" t="str">
        <x:v>COL-02</x:v>
      </x:c>
      <x:c r="B85" s="10" t="str">
        <x:v>Editing, collaboration and version control</x:v>
      </x:c>
      <x:c r="C85" s="10" t="str">
        <x:v>Major and minor revisions</x:v>
      </x:c>
      <x:c r="D85" s="10" t="str">
        <x:v>Support draft revisions, approved major releases and semantic numbering configured by document class.</x:v>
      </x:c>
      <x:c r="E85" s="10" t="str">
        <x:v>Only authorized approvers can create an official published major version.</x:v>
      </x:c>
      <x:c r="F85" s="10" t="str">
        <x:v>A reviewer distinguishes draft v1.2 from approved v2.0.</x:v>
      </x:c>
      <x:c r="G85" s="10" t="str">
        <x:v>Should</x:v>
      </x:c>
      <x:c r="H85" s="10" t="str">
        <x:v>Enterprise</x:v>
      </x:c>
      <x:c r="I85" s="10" t="str">
        <x:v>Not started</x:v>
      </x:c>
      <x:c r="J85" s="10" t="str"/>
      <x:c r="K85" s="10" t="str"/>
      <x:c r="L85" s="10" t="str"/>
    </x:row>
    <x:row r="86" ht="54" customHeight="1">
      <x:c r="A86" s="10" t="str">
        <x:v>COL-03</x:v>
      </x:c>
      <x:c r="B86" s="10" t="str">
        <x:v>Editing, collaboration and version control</x:v>
      </x:c>
      <x:c r="C86" s="10" t="str">
        <x:v>Version comparison</x:v>
      </x:c>
      <x:c r="D86" s="10" t="str">
        <x:v>Compare text, metadata and supported document formats and present changes with citations to versions.</x:v>
      </x:c>
      <x:c r="E86" s="10" t="str">
        <x:v>Comparison only processes content the actor can decrypt; zero-knowledge comparison runs in trusted client.</x:v>
      </x:c>
      <x:c r="F86" s="10" t="str">
        <x:v>Authorized user sees clear added/removed changes between two chosen versions.</x:v>
      </x:c>
      <x:c r="G86" s="10" t="str">
        <x:v>Should</x:v>
      </x:c>
      <x:c r="H86" s="10" t="str">
        <x:v>Enterprise</x:v>
      </x:c>
      <x:c r="I86" s="10" t="str">
        <x:v>Not started</x:v>
      </x:c>
      <x:c r="J86" s="10" t="str"/>
      <x:c r="K86" s="10" t="str"/>
      <x:c r="L86" s="10" t="str"/>
    </x:row>
    <x:row r="87" ht="54" customHeight="1">
      <x:c r="A87" s="10" t="str">
        <x:v>COL-04</x:v>
      </x:c>
      <x:c r="B87" s="10" t="str">
        <x:v>Editing, collaboration and version control</x:v>
      </x:c>
      <x:c r="C87" s="10" t="str">
        <x:v>File locking and checkout</x:v>
      </x:c>
      <x:c r="D87" s="10" t="str">
        <x:v>Support optional lock with editor, expiry, reason and controlled admin override for formats that cannot merge.</x:v>
      </x:c>
      <x:c r="E87" s="10" t="str">
        <x:v>Override is audited, owner notified and never bypasses read authorization.</x:v>
      </x:c>
      <x:c r="F87" s="10" t="str">
        <x:v>A second editor cannot overwrite an active locked revision silently.</x:v>
      </x:c>
      <x:c r="G87" s="10" t="str">
        <x:v>Must</x:v>
      </x:c>
      <x:c r="H87" s="10" t="str">
        <x:v>Core</x:v>
      </x:c>
      <x:c r="I87" s="10" t="str">
        <x:v>Not started</x:v>
      </x:c>
      <x:c r="J87" s="10" t="str"/>
      <x:c r="K87" s="10" t="str"/>
      <x:c r="L87" s="10" t="str"/>
    </x:row>
    <x:row r="88" ht="54" customHeight="1">
      <x:c r="A88" s="10" t="str">
        <x:v>COL-05</x:v>
      </x:c>
      <x:c r="B88" s="10" t="str">
        <x:v>Editing, collaboration and version control</x:v>
      </x:c>
      <x:c r="C88" s="10" t="str">
        <x:v>Browser editing</x:v>
      </x:c>
      <x:c r="D88" s="10" t="str">
        <x:v>Permit safe text and knowledge-page editing; integrate Office-compatible editors in approved trust and encryption modes.</x:v>
      </x:c>
      <x:c r="E88" s="10" t="str">
        <x:v>Third-party editor is prohibited from seeing zero-knowledge material without explicit trust-model change.</x:v>
      </x:c>
      <x:c r="F88" s="10" t="str">
        <x:v>Edited draft saves a new version while retaining prior versions.</x:v>
      </x:c>
      <x:c r="G88" s="10" t="str">
        <x:v>Should</x:v>
      </x:c>
      <x:c r="H88" s="10" t="str">
        <x:v>Enterprise</x:v>
      </x:c>
      <x:c r="I88" s="10" t="str">
        <x:v>Not started</x:v>
      </x:c>
      <x:c r="J88" s="10" t="str"/>
      <x:c r="K88" s="10" t="str"/>
      <x:c r="L88" s="10" t="str"/>
    </x:row>
    <x:row r="89" ht="54" customHeight="1">
      <x:c r="A89" s="10" t="str">
        <x:v>COL-06</x:v>
      </x:c>
      <x:c r="B89" s="10" t="str">
        <x:v>Editing, collaboration and version control</x:v>
      </x:c>
      <x:c r="C89" s="10" t="str">
        <x:v>Real-time coauthoring</x:v>
      </x:c>
      <x:c r="D89" s="10" t="str">
        <x:v>Add concurrent editing, presence and conflict resolution where a compatible collaboration engine exists.</x:v>
      </x:c>
      <x:c r="E89" s="10" t="str">
        <x:v>Ephemeral presence and editor state are tenant-scoped and encrypted as required.</x:v>
      </x:c>
      <x:c r="F89" s="10" t="str">
        <x:v>Two permitted users can edit the same knowledge page without data loss.</x:v>
      </x:c>
      <x:c r="G89" s="10" t="str">
        <x:v>Advanced</x:v>
      </x:c>
      <x:c r="H89" s="10" t="str">
        <x:v>Expansion</x:v>
      </x:c>
      <x:c r="I89" s="10" t="str">
        <x:v>Not started</x:v>
      </x:c>
      <x:c r="J89" s="10" t="str"/>
      <x:c r="K89" s="10" t="str"/>
      <x:c r="L89" s="10" t="str"/>
    </x:row>
    <x:row r="90" ht="54" customHeight="1">
      <x:c r="A90" s="10" t="str">
        <x:v>COL-07</x:v>
      </x:c>
      <x:c r="B90" s="10" t="str">
        <x:v>Editing, collaboration and version control</x:v>
      </x:c>
      <x:c r="C90" s="10" t="str">
        <x:v>Inline comments and replies</x:v>
      </x:c>
      <x:c r="D90" s="10" t="str">
        <x:v>Anchor discussions to text regions, pages or versions, with mentions, resolve status and thread ownership.</x:v>
      </x:c>
      <x:c r="E90" s="10" t="str">
        <x:v>Comments inherit strict content rights and are hidden from recipients lacking file access.</x:v>
      </x:c>
      <x:c r="F90" s="10" t="str">
        <x:v>Commenter can resolve own permitted thread; unauthorized user cannot enumerate threads.</x:v>
      </x:c>
      <x:c r="G90" s="10" t="str">
        <x:v>Must</x:v>
      </x:c>
      <x:c r="H90" s="10" t="str">
        <x:v>Core</x:v>
      </x:c>
      <x:c r="I90" s="10" t="str">
        <x:v>Not started</x:v>
      </x:c>
      <x:c r="J90" s="10" t="str"/>
      <x:c r="K90" s="10" t="str"/>
      <x:c r="L90" s="10" t="str"/>
    </x:row>
    <x:row r="91" ht="54" customHeight="1">
      <x:c r="A91" s="10" t="str">
        <x:v>COL-08</x:v>
      </x:c>
      <x:c r="B91" s="10" t="str">
        <x:v>Editing, collaboration and version control</x:v>
      </x:c>
      <x:c r="C91" s="10" t="str">
        <x:v>Annotations and highlights</x:v>
      </x:c>
      <x:c r="D91" s="10" t="str">
        <x:v>Support personal and group annotations, stamps and review marks on supported formats.</x:v>
      </x:c>
      <x:c r="E91" s="10" t="str">
        <x:v>Personal annotations stay private unless deliberately shared.</x:v>
      </x:c>
      <x:c r="F91" s="10" t="str">
        <x:v>Annotation remains anchored to the correct document version.</x:v>
      </x:c>
      <x:c r="G91" s="10" t="str">
        <x:v>Should</x:v>
      </x:c>
      <x:c r="H91" s="10" t="str">
        <x:v>Enterprise</x:v>
      </x:c>
      <x:c r="I91" s="10" t="str">
        <x:v>Not started</x:v>
      </x:c>
      <x:c r="J91" s="10" t="str"/>
      <x:c r="K91" s="10" t="str"/>
      <x:c r="L91" s="10" t="str"/>
    </x:row>
    <x:row r="92" ht="54" customHeight="1">
      <x:c r="A92" s="10" t="str">
        <x:v>COL-09</x:v>
      </x:c>
      <x:c r="B92" s="10" t="str">
        <x:v>Editing, collaboration and version control</x:v>
      </x:c>
      <x:c r="C92" s="10" t="str">
        <x:v>Suggested edits and change requests</x:v>
      </x:c>
      <x:c r="D92" s="10" t="str">
        <x:v>Let reviewers propose edits without changing authoritative content; owners accept or reject suggestions.</x:v>
      </x:c>
      <x:c r="E92" s="10" t="str">
        <x:v>Sensitive changes may require reapproval and cannot overwrite signed released records.</x:v>
      </x:c>
      <x:c r="F92" s="10" t="str">
        <x:v>Rejected suggestion leaves an audit trail but no document mutation.</x:v>
      </x:c>
      <x:c r="G92" s="10" t="str">
        <x:v>Should</x:v>
      </x:c>
      <x:c r="H92" s="10" t="str">
        <x:v>Enterprise</x:v>
      </x:c>
      <x:c r="I92" s="10" t="str">
        <x:v>Not started</x:v>
      </x:c>
      <x:c r="J92" s="10" t="str"/>
      <x:c r="K92" s="10" t="str"/>
      <x:c r="L92" s="10" t="str"/>
    </x:row>
    <x:row r="93" ht="54" customHeight="1">
      <x:c r="A93" s="10" t="str">
        <x:v>COL-10</x:v>
      </x:c>
      <x:c r="B93" s="10" t="str">
        <x:v>Editing, collaboration and version control</x:v>
      </x:c>
      <x:c r="C93" s="10" t="str">
        <x:v>Review assignments</x:v>
      </x:c>
      <x:c r="D93" s="10" t="str">
        <x:v>Assign named reviewers, deadlines, parallel review groups and due-date escalations.</x:v>
      </x:c>
      <x:c r="E93" s="10" t="str">
        <x:v>Assignments do not automatically grant plaintext access beyond the workflow's approved grant.</x:v>
      </x:c>
      <x:c r="F93" s="10" t="str">
        <x:v>Late reviewers appear in escalation queue with status and overdue time.</x:v>
      </x:c>
      <x:c r="G93" s="10" t="str">
        <x:v>Must</x:v>
      </x:c>
      <x:c r="H93" s="10" t="str">
        <x:v>Core</x:v>
      </x:c>
      <x:c r="I93" s="10" t="str">
        <x:v>Not started</x:v>
      </x:c>
      <x:c r="J93" s="10" t="str"/>
      <x:c r="K93" s="10" t="str"/>
      <x:c r="L93" s="10" t="str"/>
    </x:row>
    <x:row r="94" ht="54" customHeight="1">
      <x:c r="A94" s="10" t="str">
        <x:v>COL-11</x:v>
      </x:c>
      <x:c r="B94" s="10" t="str">
        <x:v>Editing, collaboration and version control</x:v>
      </x:c>
      <x:c r="C94" s="10" t="str">
        <x:v>Document subscriptions</x:v>
      </x:c>
      <x:c r="D94" s="10" t="str">
        <x:v>Let users follow authorized documents, owners, categories and policy updates with adjustable notification frequency.</x:v>
      </x:c>
      <x:c r="E94" s="10" t="str">
        <x:v>Notification content is limited to recipients' rights at delivery time.</x:v>
      </x:c>
      <x:c r="F94" s="10" t="str">
        <x:v>Revoking access stops future sensitive notifications and deep links.</x:v>
      </x:c>
      <x:c r="G94" s="10" t="str">
        <x:v>Should</x:v>
      </x:c>
      <x:c r="H94" s="10" t="str">
        <x:v>Enterprise</x:v>
      </x:c>
      <x:c r="I94" s="10" t="str">
        <x:v>Not started</x:v>
      </x:c>
      <x:c r="J94" s="10" t="str"/>
      <x:c r="K94" s="10" t="str"/>
      <x:c r="L94" s="10" t="str"/>
    </x:row>
    <x:row r="95" ht="54" customHeight="1">
      <x:c r="A95" s="10" t="str">
        <x:v>COL-12</x:v>
      </x:c>
      <x:c r="B95" s="10" t="str">
        <x:v>Editing, collaboration and version control</x:v>
      </x:c>
      <x:c r="C95" s="10" t="str">
        <x:v>Watermarking and visual labels</x:v>
      </x:c>
      <x:c r="D95" s="10" t="str">
        <x:v>Apply dynamic user, tenant, date and classification watermarks to managed previews and exports when policy allows.</x:v>
      </x:c>
      <x:c r="E95" s="10" t="str">
        <x:v>Watermarks deter casual misuse but do not prevent screenshots; zero-knowledge labels must be applied by trusted client.</x:v>
      </x:c>
      <x:c r="F95" s="10" t="str">
        <x:v>Rendered export contains the required mark, without affecting underlying master bytes.</x:v>
      </x:c>
      <x:c r="G95" s="10" t="str">
        <x:v>Should</x:v>
      </x:c>
      <x:c r="H95" s="10" t="str">
        <x:v>Enterprise</x:v>
      </x:c>
      <x:c r="I95" s="10" t="str">
        <x:v>Not started</x:v>
      </x:c>
      <x:c r="J95" s="10" t="str"/>
      <x:c r="K95" s="10" t="str"/>
      <x:c r="L95" s="10" t="str"/>
    </x:row>
    <x:row r="96" ht="54" customHeight="1">
      <x:c r="A96" s="10" t="str">
        <x:v>COL-13</x:v>
      </x:c>
      <x:c r="B96" s="10" t="str">
        <x:v>Editing, collaboration and version control</x:v>
      </x:c>
      <x:c r="C96" s="10" t="str">
        <x:v>Offline edit conflict handling</x:v>
      </x:c>
      <x:c r="D96" s="10" t="str">
        <x:v>Queue offline edits with explicit reauthentication and merge/conflict resolution on reconnect.</x:v>
      </x:c>
      <x:c r="E96" s="10" t="str">
        <x:v>Offline caches are encrypted, time-bound and removed on remote wipe where possible.</x:v>
      </x:c>
      <x:c r="F96" s="10" t="str">
        <x:v>Competing offline revisions create a conflict queue rather than overwriting.</x:v>
      </x:c>
      <x:c r="G96" s="10" t="str">
        <x:v>Advanced</x:v>
      </x:c>
      <x:c r="H96" s="10" t="str">
        <x:v>Expansion</x:v>
      </x:c>
      <x:c r="I96" s="10" t="str">
        <x:v>Not started</x:v>
      </x:c>
      <x:c r="J96" s="10" t="str"/>
      <x:c r="K96" s="10" t="str"/>
      <x:c r="L96" s="10" t="str"/>
    </x:row>
    <x:row r="97" ht="54" customHeight="1">
      <x:c r="A97" s="10" t="str">
        <x:v>COL-14</x:v>
      </x:c>
      <x:c r="B97" s="10" t="str">
        <x:v>Editing, collaboration and version control</x:v>
      </x:c>
      <x:c r="C97" s="10" t="str">
        <x:v>Approval signatures</x:v>
      </x:c>
      <x:c r="D97" s="10" t="str">
        <x:v>Collect workflow approvals bound to document hash, version, actor and time; optionally integrate legally appropriate digital signatures.</x:v>
      </x:c>
      <x:c r="E97" s="10" t="str">
        <x:v>Approval acknowledgment is not automatically a legally qualified electronic signature.</x:v>
      </x:c>
      <x:c r="F97" s="10" t="str">
        <x:v>Any post-approval edit invalidates the version's approval state.</x:v>
      </x:c>
      <x:c r="G97" s="10" t="str">
        <x:v>Must</x:v>
      </x:c>
      <x:c r="H97" s="10" t="str">
        <x:v>Core</x:v>
      </x:c>
      <x:c r="I97" s="10" t="str">
        <x:v>Not started</x:v>
      </x:c>
      <x:c r="J97" s="10" t="str"/>
      <x:c r="K97" s="10" t="str"/>
      <x:c r="L97" s="10" t="str"/>
    </x:row>
    <x:row r="98" ht="54" customHeight="1">
      <x:c r="A98" s="10" t="str">
        <x:v>COL-15</x:v>
      </x:c>
      <x:c r="B98" s="10" t="str">
        <x:v>Editing, collaboration and version control</x:v>
      </x:c>
      <x:c r="C98" s="10" t="str">
        <x:v>Discussion and reactions</x:v>
      </x:c>
      <x:c r="D98" s="10" t="str">
        <x:v>Support structured Q&amp;A, decision threads and reactions for team knowledge pages and permitted documents.</x:v>
      </x:c>
      <x:c r="E98" s="10" t="str">
        <x:v>Moderation, retention and access controls apply to discussion content.</x:v>
      </x:c>
      <x:c r="F98" s="10" t="str">
        <x:v>A restricted discussion cannot be surfaced in global activity feed.</x:v>
      </x:c>
      <x:c r="G98" s="10" t="str">
        <x:v>Should</x:v>
      </x:c>
      <x:c r="H98" s="10" t="str">
        <x:v>Enterprise</x:v>
      </x:c>
      <x:c r="I98" s="10" t="str">
        <x:v>Not started</x:v>
      </x:c>
      <x:c r="J98" s="10" t="str"/>
      <x:c r="K98" s="10" t="str"/>
      <x:c r="L98" s="10" t="str"/>
    </x:row>
    <x:row r="99" ht="54" customHeight="1">
      <x:c r="A99" s="10" t="str">
        <x:v>COL-16</x:v>
      </x:c>
      <x:c r="B99" s="10" t="str">
        <x:v>Editing, collaboration and version control</x:v>
      </x:c>
      <x:c r="C99" s="10" t="str">
        <x:v>Collaborator presence</x:v>
      </x:c>
      <x:c r="D99" s="10" t="str">
        <x:v>Show who is currently viewing or editing permitted items, with privacy-aware optional presence controls.</x:v>
      </x:c>
      <x:c r="E99" s="10" t="str">
        <x:v>Cross-tenant presence is hidden unless explicit joint workspace grant exists.</x:v>
      </x:c>
      <x:c r="F99" s="10" t="str">
        <x:v>Presence disappears after session timeout and does not disclose private activity.</x:v>
      </x:c>
      <x:c r="G99" s="10" t="str">
        <x:v>Advanced</x:v>
      </x:c>
      <x:c r="H99" s="10" t="str">
        <x:v>Expansion</x:v>
      </x:c>
      <x:c r="I99" s="10" t="str">
        <x:v>Not started</x:v>
      </x:c>
      <x:c r="J99" s="10" t="str"/>
      <x:c r="K99" s="10" t="str"/>
      <x:c r="L99" s="10" t="str"/>
    </x:row>
    <x:row r="100" ht="54" customHeight="1">
      <x:c r="A100" s="10" t="str">
        <x:v>KNO-01</x:v>
      </x:c>
      <x:c r="B100" s="10" t="str">
        <x:v>Knowledge base, wiki and organizational learning</x:v>
      </x:c>
      <x:c r="C100" s="10" t="str">
        <x:v>Rich knowledge pages</x:v>
      </x:c>
      <x:c r="D100" s="10" t="str">
        <x:v>Create wiki pages with headings, tables, code, callouts, attachments, embedded authorized references and versioned changes.</x:v>
      </x:c>
      <x:c r="E100" s="10" t="str">
        <x:v>Page transclusions and linked attachments must undergo separate access checks.</x:v>
      </x:c>
      <x:c r="F100" s="10" t="str">
        <x:v>A viewer cannot reveal restricted attachments through an authorized parent page.</x:v>
      </x:c>
      <x:c r="G100" s="10" t="str">
        <x:v>Must</x:v>
      </x:c>
      <x:c r="H100" s="10" t="str">
        <x:v>Core</x:v>
      </x:c>
      <x:c r="I100" s="10" t="str">
        <x:v>Not started</x:v>
      </x:c>
      <x:c r="J100" s="10" t="str"/>
      <x:c r="K100" s="10" t="str"/>
      <x:c r="L100" s="10" t="str"/>
    </x:row>
    <x:row r="101" ht="54" customHeight="1">
      <x:c r="A101" s="10" t="str">
        <x:v>KNO-02</x:v>
      </x:c>
      <x:c r="B101" s="10" t="str">
        <x:v>Knowledge base, wiki and organizational learning</x:v>
      </x:c>
      <x:c r="C101" s="10" t="str">
        <x:v>Knowledge spaces</x:v>
      </x:c>
      <x:c r="D101" s="10" t="str">
        <x:v>Establish subsidiary, department, project and cross-company spaces with ownership and published navigation trees.</x:v>
      </x:c>
      <x:c r="E101" s="10" t="str">
        <x:v>Space membership does not override document classification or individual deny rules.</x:v>
      </x:c>
      <x:c r="F101" s="10" t="str">
        <x:v>A team publishes a knowledge space without exposing hidden departmental records.</x:v>
      </x:c>
      <x:c r="G101" s="10" t="str">
        <x:v>Must</x:v>
      </x:c>
      <x:c r="H101" s="10" t="str">
        <x:v>Core</x:v>
      </x:c>
      <x:c r="I101" s="10" t="str">
        <x:v>Not started</x:v>
      </x:c>
      <x:c r="J101" s="10" t="str"/>
      <x:c r="K101" s="10" t="str"/>
      <x:c r="L101" s="10" t="str"/>
    </x:row>
    <x:row r="102" ht="54" customHeight="1">
      <x:c r="A102" s="10" t="str">
        <x:v>KNO-03</x:v>
      </x:c>
      <x:c r="B102" s="10" t="str">
        <x:v>Knowledge base, wiki and organizational learning</x:v>
      </x:c>
      <x:c r="C102" s="10" t="str">
        <x:v>Standard knowledge templates</x:v>
      </x:c>
      <x:c r="D102" s="10" t="str">
        <x:v>Provide reusable SOP, policy, runbook, onboarding, FAQ, meeting decision and incident postmortem templates.</x:v>
      </x:c>
      <x:c r="E102" s="10" t="str">
        <x:v>Templates carry required classification and approval defaults.</x:v>
      </x:c>
      <x:c r="F102" s="10" t="str">
        <x:v>New page inherits correct fields and review cycle from chosen template.</x:v>
      </x:c>
      <x:c r="G102" s="10" t="str">
        <x:v>Should</x:v>
      </x:c>
      <x:c r="H102" s="10" t="str">
        <x:v>Enterprise</x:v>
      </x:c>
      <x:c r="I102" s="10" t="str">
        <x:v>Not started</x:v>
      </x:c>
      <x:c r="J102" s="10" t="str"/>
      <x:c r="K102" s="10" t="str"/>
      <x:c r="L102" s="10" t="str"/>
    </x:row>
    <x:row r="103" ht="54" customHeight="1">
      <x:c r="A103" s="10" t="str">
        <x:v>KNO-04</x:v>
      </x:c>
      <x:c r="B103" s="10" t="str">
        <x:v>Knowledge base, wiki and organizational learning</x:v>
      </x:c>
      <x:c r="C103" s="10" t="str">
        <x:v>FAQs and troubleshooting</x:v>
      </x:c>
      <x:c r="D103" s="10" t="str">
        <x:v>Support question-answer articles, recommended solutions, symptoms, product versions and resolution feedback.</x:v>
      </x:c>
      <x:c r="E103" s="10" t="str">
        <x:v>Published answers must link to approved source documents where policy requires.</x:v>
      </x:c>
      <x:c r="F103" s="10" t="str">
        <x:v>Search retrieves verified FAQ and shows its last review date.</x:v>
      </x:c>
      <x:c r="G103" s="10" t="str">
        <x:v>Should</x:v>
      </x:c>
      <x:c r="H103" s="10" t="str">
        <x:v>Enterprise</x:v>
      </x:c>
      <x:c r="I103" s="10" t="str">
        <x:v>Not started</x:v>
      </x:c>
      <x:c r="J103" s="10" t="str"/>
      <x:c r="K103" s="10" t="str"/>
      <x:c r="L103" s="10" t="str"/>
    </x:row>
    <x:row r="104" ht="54" customHeight="1">
      <x:c r="A104" s="10" t="str">
        <x:v>KNO-05</x:v>
      </x:c>
      <x:c r="B104" s="10" t="str">
        <x:v>Knowledge base, wiki and organizational learning</x:v>
      </x:c>
      <x:c r="C104" s="10" t="str">
        <x:v>Subject-matter expert directory</x:v>
      </x:c>
      <x:c r="D104" s="10" t="str">
        <x:v>Index opt-in expertise, document stewards and team responsibilities with controlled visibility.</x:v>
      </x:c>
      <x:c r="E104" s="10" t="str">
        <x:v>Personal data is minimized and respects privacy settings.</x:v>
      </x:c>
      <x:c r="F104" s="10" t="str">
        <x:v>Authorized user can find a responsible expert for a category without viewing private personnel records.</x:v>
      </x:c>
      <x:c r="G104" s="10" t="str">
        <x:v>Should</x:v>
      </x:c>
      <x:c r="H104" s="10" t="str">
        <x:v>Enterprise</x:v>
      </x:c>
      <x:c r="I104" s="10" t="str">
        <x:v>Not started</x:v>
      </x:c>
      <x:c r="J104" s="10" t="str"/>
      <x:c r="K104" s="10" t="str"/>
      <x:c r="L104" s="10" t="str"/>
    </x:row>
    <x:row r="105" ht="54" customHeight="1">
      <x:c r="A105" s="10" t="str">
        <x:v>KNO-06</x:v>
      </x:c>
      <x:c r="B105" s="10" t="str">
        <x:v>Knowledge base, wiki and organizational learning</x:v>
      </x:c>
      <x:c r="C105" s="10" t="str">
        <x:v>Verified canonical articles</x:v>
      </x:c>
      <x:c r="D105" s="10" t="str">
        <x:v>Mark approved, owner-reviewed guidance as official, with renewal and supersession rules.</x:v>
      </x:c>
      <x:c r="E105" s="10" t="str">
        <x:v>Only a designated approver can certify official content.</x:v>
      </x:c>
      <x:c r="F105" s="10" t="str">
        <x:v>Search ranks official guidance and visibly warns about stale drafts.</x:v>
      </x:c>
      <x:c r="G105" s="10" t="str">
        <x:v>Must</x:v>
      </x:c>
      <x:c r="H105" s="10" t="str">
        <x:v>Core</x:v>
      </x:c>
      <x:c r="I105" s="10" t="str">
        <x:v>Not started</x:v>
      </x:c>
      <x:c r="J105" s="10" t="str"/>
      <x:c r="K105" s="10" t="str"/>
      <x:c r="L105" s="10" t="str"/>
    </x:row>
    <x:row r="106" ht="54" customHeight="1">
      <x:c r="A106" s="10" t="str">
        <x:v>KNO-07</x:v>
      </x:c>
      <x:c r="B106" s="10" t="str">
        <x:v>Knowledge base, wiki and organizational learning</x:v>
      </x:c>
      <x:c r="C106" s="10" t="str">
        <x:v>Learning paths and reading lists</x:v>
      </x:c>
      <x:c r="D106" s="10" t="str">
        <x:v>Curate sequential documents, lessons and knowledge checklists for onboarding or role-specific learning.</x:v>
      </x:c>
      <x:c r="E106" s="10" t="str">
        <x:v>Assignment never unlocks documents outside the learner's effective rights.</x:v>
      </x:c>
      <x:c r="F106" s="10" t="str">
        <x:v>Learner progress records completions without adding unauthorized document grants.</x:v>
      </x:c>
      <x:c r="G106" s="10" t="str">
        <x:v>Should</x:v>
      </x:c>
      <x:c r="H106" s="10" t="str">
        <x:v>Enterprise</x:v>
      </x:c>
      <x:c r="I106" s="10" t="str">
        <x:v>Not started</x:v>
      </x:c>
      <x:c r="J106" s="10" t="str"/>
      <x:c r="K106" s="10" t="str"/>
      <x:c r="L106" s="10" t="str"/>
    </x:row>
    <x:row r="107" ht="54" customHeight="1">
      <x:c r="A107" s="10" t="str">
        <x:v>KNO-08</x:v>
      </x:c>
      <x:c r="B107" s="10" t="str">
        <x:v>Knowledge base, wiki and organizational learning</x:v>
      </x:c>
      <x:c r="C107" s="10" t="str">
        <x:v>Required reading and attestations</x:v>
      </x:c>
      <x:c r="D107" s="10" t="str">
        <x:v>Send controlled policy acknowledgments, reminders and evidence of reading/acceptance tied to exact versions.</x:v>
      </x:c>
      <x:c r="E107" s="10" t="str">
        <x:v>Access or acknowledgement must not be fabricated by administrators; attestation may require MFA.</x:v>
      </x:c>
      <x:c r="F107" s="10" t="str">
        <x:v>Report identifies who acknowledged policy version X and who remains overdue.</x:v>
      </x:c>
      <x:c r="G107" s="10" t="str">
        <x:v>Should</x:v>
      </x:c>
      <x:c r="H107" s="10" t="str">
        <x:v>Enterprise</x:v>
      </x:c>
      <x:c r="I107" s="10" t="str">
        <x:v>Not started</x:v>
      </x:c>
      <x:c r="J107" s="10" t="str"/>
      <x:c r="K107" s="10" t="str"/>
      <x:c r="L107" s="10" t="str"/>
    </x:row>
    <x:row r="108" ht="54" customHeight="1">
      <x:c r="A108" s="10" t="str">
        <x:v>KNO-09</x:v>
      </x:c>
      <x:c r="B108" s="10" t="str">
        <x:v>Knowledge base, wiki and organizational learning</x:v>
      </x:c>
      <x:c r="C108" s="10" t="str">
        <x:v>Community contributions</x:v>
      </x:c>
      <x:c r="D108" s="10" t="str">
        <x:v>Permit draft suggestions, expert review and moderated contributions by approved teams.</x:v>
      </x:c>
      <x:c r="E108" s="10" t="str">
        <x:v>Contributor cannot publish into official spaces without required review.</x:v>
      </x:c>
      <x:c r="F108" s="10" t="str">
        <x:v>Accepted contribution shows attribution and approval history.</x:v>
      </x:c>
      <x:c r="G108" s="10" t="str">
        <x:v>Should</x:v>
      </x:c>
      <x:c r="H108" s="10" t="str">
        <x:v>Enterprise</x:v>
      </x:c>
      <x:c r="I108" s="10" t="str">
        <x:v>Not started</x:v>
      </x:c>
      <x:c r="J108" s="10" t="str"/>
      <x:c r="K108" s="10" t="str"/>
      <x:c r="L108" s="10" t="str"/>
    </x:row>
    <x:row r="109" ht="54" customHeight="1">
      <x:c r="A109" s="10" t="str">
        <x:v>KNO-10</x:v>
      </x:c>
      <x:c r="B109" s="10" t="str">
        <x:v>Knowledge base, wiki and organizational learning</x:v>
      </x:c>
      <x:c r="C109" s="10" t="str">
        <x:v>Feedback and knowledge gaps</x:v>
      </x:c>
      <x:c r="D109" s="10" t="str">
        <x:v>Collect missing-answer requests, thumbs-up/down, problem reports and editorial suggestions.</x:v>
      </x:c>
      <x:c r="E109" s="10" t="str">
        <x:v>Feedback reports suppress private user content unless reviewers are authorized.</x:v>
      </x:c>
      <x:c r="F109" s="10" t="str">
        <x:v>Knowledge owner receives prioritized backlog of unanswered topics.</x:v>
      </x:c>
      <x:c r="G109" s="10" t="str">
        <x:v>Should</x:v>
      </x:c>
      <x:c r="H109" s="10" t="str">
        <x:v>Enterprise</x:v>
      </x:c>
      <x:c r="I109" s="10" t="str">
        <x:v>Not started</x:v>
      </x:c>
      <x:c r="J109" s="10" t="str"/>
      <x:c r="K109" s="10" t="str"/>
      <x:c r="L109" s="10" t="str"/>
    </x:row>
    <x:row r="110" ht="54" customHeight="1">
      <x:c r="A110" s="10" t="str">
        <x:v>KNO-11</x:v>
      </x:c>
      <x:c r="B110" s="10" t="str">
        <x:v>Knowledge base, wiki and organizational learning</x:v>
      </x:c>
      <x:c r="C110" s="10" t="str">
        <x:v>Decision register</x:v>
      </x:c>
      <x:c r="D110" s="10" t="str">
        <x:v>Track board and management decisions, rationale, votes where permitted, accountable owner and linked implementation tasks.</x:v>
      </x:c>
      <x:c r="E110" s="10" t="str">
        <x:v>Confidential decision records use special classification and approval.</x:v>
      </x:c>
      <x:c r="F110" s="10" t="str">
        <x:v>Decision can be traced to meeting, evidence and superseding decisions.</x:v>
      </x:c>
      <x:c r="G110" s="10" t="str">
        <x:v>Should</x:v>
      </x:c>
      <x:c r="H110" s="10" t="str">
        <x:v>Enterprise</x:v>
      </x:c>
      <x:c r="I110" s="10" t="str">
        <x:v>Not started</x:v>
      </x:c>
      <x:c r="J110" s="10" t="str"/>
      <x:c r="K110" s="10" t="str"/>
      <x:c r="L110" s="10" t="str"/>
    </x:row>
    <x:row r="111" ht="54" customHeight="1">
      <x:c r="A111" s="10" t="str">
        <x:v>KNO-12</x:v>
      </x:c>
      <x:c r="B111" s="10" t="str">
        <x:v>Knowledge base, wiki and organizational learning</x:v>
      </x:c>
      <x:c r="C111" s="10" t="str">
        <x:v>Process and policy maps</x:v>
      </x:c>
      <x:c r="D111" s="10" t="str">
        <x:v>Connect policies, procedures, controls, forms, risks and departmental owners into navigable maps.</x:v>
      </x:c>
      <x:c r="E111" s="10" t="str">
        <x:v>Links display only authorized targets and do not leak hidden titles.</x:v>
      </x:c>
      <x:c r="F111" s="10" t="str">
        <x:v>A policy owner can see all permitted dependent procedures affected by a revision.</x:v>
      </x:c>
      <x:c r="G111" s="10" t="str">
        <x:v>Advanced</x:v>
      </x:c>
      <x:c r="H111" s="10" t="str">
        <x:v>Expansion</x:v>
      </x:c>
      <x:c r="I111" s="10" t="str">
        <x:v>Not started</x:v>
      </x:c>
      <x:c r="J111" s="10" t="str"/>
      <x:c r="K111" s="10" t="str"/>
      <x:c r="L111" s="10" t="str"/>
    </x:row>
    <x:row r="112" ht="54" customHeight="1">
      <x:c r="A112" s="10" t="str">
        <x:v>KNO-13</x:v>
      </x:c>
      <x:c r="B112" s="10" t="str">
        <x:v>Knowledge base, wiki and organizational learning</x:v>
      </x:c>
      <x:c r="C112" s="10" t="str">
        <x:v>Knowledge lifecycle</x:v>
      </x:c>
      <x:c r="D112" s="10" t="str">
        <x:v>Support draft, validate, publish, review, retire and archival stages specific to articles and procedures.</x:v>
      </x:c>
      <x:c r="E112" s="10" t="str">
        <x:v>Stale or withdrawn material is not presented as current guidance.</x:v>
      </x:c>
      <x:c r="F112" s="10" t="str">
        <x:v>Published page expires into review queue and stale marker is visible.</x:v>
      </x:c>
      <x:c r="G112" s="10" t="str">
        <x:v>Must</x:v>
      </x:c>
      <x:c r="H112" s="10" t="str">
        <x:v>Core</x:v>
      </x:c>
      <x:c r="I112" s="10" t="str">
        <x:v>Not started</x:v>
      </x:c>
      <x:c r="J112" s="10" t="str"/>
      <x:c r="K112" s="10" t="str"/>
      <x:c r="L112" s="10" t="str"/>
    </x:row>
    <x:row r="113" ht="54" customHeight="1">
      <x:c r="A113" s="10" t="str">
        <x:v>KNO-14</x:v>
      </x:c>
      <x:c r="B113" s="10" t="str">
        <x:v>Knowledge base, wiki and organizational learning</x:v>
      </x:c>
      <x:c r="C113" s="10" t="str">
        <x:v>Multilingual knowledge variants</x:v>
      </x:c>
      <x:c r="D113" s="10" t="str">
        <x:v>Link translated versions to a canonical source, track per-language approval, drift and update requests.</x:v>
      </x:c>
      <x:c r="E113" s="10" t="str">
        <x:v>Translation may require independent legal review and does not inherit authorization exceptions.</x:v>
      </x:c>
      <x:c r="F113" s="10" t="str">
        <x:v>Updating source flags translations needing review without silently changing them.</x:v>
      </x:c>
      <x:c r="G113" s="10" t="str">
        <x:v>Should</x:v>
      </x:c>
      <x:c r="H113" s="10" t="str">
        <x:v>Enterprise</x:v>
      </x:c>
      <x:c r="I113" s="10" t="str">
        <x:v>Not started</x:v>
      </x:c>
      <x:c r="J113" s="10" t="str"/>
      <x:c r="K113" s="10" t="str"/>
      <x:c r="L113" s="10" t="str"/>
    </x:row>
    <x:row r="114" ht="54" customHeight="1">
      <x:c r="A114" s="10" t="str">
        <x:v>KNO-15</x:v>
      </x:c>
      <x:c r="B114" s="10" t="str">
        <x:v>Knowledge base, wiki and organizational learning</x:v>
      </x:c>
      <x:c r="C114" s="10" t="str">
        <x:v>Audience-tailored homepages</x:v>
      </x:c>
      <x:c r="D114" s="10" t="str">
        <x:v>Provide curated homepages for functions and roles with recently changed policies, tasks and recommended knowledge.</x:v>
      </x:c>
      <x:c r="E114" s="10" t="str">
        <x:v>Every widget is permission trimmed and tenant bound.</x:v>
      </x:c>
      <x:c r="F114" s="10" t="str">
        <x:v>Two users in same subsidiary see only their permitted content blocks.</x:v>
      </x:c>
      <x:c r="G114" s="10" t="str">
        <x:v>Should</x:v>
      </x:c>
      <x:c r="H114" s="10" t="str">
        <x:v>Enterprise</x:v>
      </x:c>
      <x:c r="I114" s="10" t="str">
        <x:v>Not started</x:v>
      </x:c>
      <x:c r="J114" s="10" t="str"/>
      <x:c r="K114" s="10" t="str"/>
      <x:c r="L114" s="10" t="str"/>
    </x:row>
    <x:row r="115" ht="54" customHeight="1">
      <x:c r="A115" s="10" t="str">
        <x:v>KNO-16</x:v>
      </x:c>
      <x:c r="B115" s="10" t="str">
        <x:v>Knowledge base, wiki and organizational learning</x:v>
      </x:c>
      <x:c r="C115" s="10" t="str">
        <x:v>Knowledge content health</x:v>
      </x:c>
      <x:c r="D115" s="10" t="str">
        <x:v>Report orphaned pages, broken links, duplicate guidance, staleness, unanswered questions and missing custodians.</x:v>
      </x:c>
      <x:c r="E115" s="10" t="str">
        <x:v>Diagnostic reports are scoped to administrator entitlements.</x:v>
      </x:c>
      <x:c r="F115" s="10" t="str">
        <x:v>Monthly content health report produces an owner-actionable backlog.</x:v>
      </x:c>
      <x:c r="G115" s="10" t="str">
        <x:v>Should</x:v>
      </x:c>
      <x:c r="H115" s="10" t="str">
        <x:v>Enterprise</x:v>
      </x:c>
      <x:c r="I115" s="10" t="str">
        <x:v>Not started</x:v>
      </x:c>
      <x:c r="J115" s="10" t="str"/>
      <x:c r="K115" s="10" t="str"/>
      <x:c r="L115" s="10" t="str"/>
    </x:row>
    <x:row r="116" ht="54" customHeight="1">
      <x:c r="A116" s="10" t="str">
        <x:v>WFL-01</x:v>
      </x:c>
      <x:c r="B116" s="10" t="str">
        <x:v>Workflow engine, approvals and business process automation</x:v>
      </x:c>
      <x:c r="C116" s="10" t="str">
        <x:v>Visual workflow builder</x:v>
      </x:c>
      <x:c r="D116" s="10" t="str">
        <x:v>Build versioned no-code processes from start, task, branch, timer, integration and approval nodes.</x:v>
      </x:c>
      <x:c r="E116" s="10" t="str">
        <x:v>A published workflow is immutable for existing runs or migrated with explicit controls.</x:v>
      </x:c>
      <x:c r="F116" s="10" t="str">
        <x:v>Two workflow versions execute reproducibly against their own definitions.</x:v>
      </x:c>
      <x:c r="G116" s="10" t="str">
        <x:v>Should</x:v>
      </x:c>
      <x:c r="H116" s="10" t="str">
        <x:v>Enterprise</x:v>
      </x:c>
      <x:c r="I116" s="10" t="str">
        <x:v>Not started</x:v>
      </x:c>
      <x:c r="J116" s="10" t="str"/>
      <x:c r="K116" s="10" t="str"/>
      <x:c r="L116" s="10" t="str"/>
    </x:row>
    <x:row r="117" ht="54" customHeight="1">
      <x:c r="A117" s="10" t="str">
        <x:v>WFL-02</x:v>
      </x:c>
      <x:c r="B117" s="10" t="str">
        <x:v>Workflow engine, approvals and business process automation</x:v>
      </x:c>
      <x:c r="C117" s="10" t="str">
        <x:v>Sequential and parallel approvals</x:v>
      </x:c>
      <x:c r="D117" s="10" t="str">
        <x:v>Configure ordered approvals, quorum thresholds, unanimity or majority decisions with escalation rules.</x:v>
      </x:c>
      <x:c r="E117" s="10" t="str">
        <x:v>Creator and approver separation is enforced where mandated.</x:v>
      </x:c>
      <x:c r="F117" s="10" t="str">
        <x:v>Parallel board review completes only when configured quorum is met.</x:v>
      </x:c>
      <x:c r="G117" s="10" t="str">
        <x:v>Must</x:v>
      </x:c>
      <x:c r="H117" s="10" t="str">
        <x:v>Core</x:v>
      </x:c>
      <x:c r="I117" s="10" t="str">
        <x:v>Not started</x:v>
      </x:c>
      <x:c r="J117" s="10" t="str"/>
      <x:c r="K117" s="10" t="str"/>
      <x:c r="L117" s="10" t="str"/>
    </x:row>
    <x:row r="118" ht="54" customHeight="1">
      <x:c r="A118" s="10" t="str">
        <x:v>WFL-03</x:v>
      </x:c>
      <x:c r="B118" s="10" t="str">
        <x:v>Workflow engine, approvals and business process automation</x:v>
      </x:c>
      <x:c r="C118" s="10" t="str">
        <x:v>Conditional routing</x:v>
      </x:c>
      <x:c r="D118" s="10" t="str">
        <x:v>Route contracts by value, risk, legal jurisdiction, department, counterparty or classification.</x:v>
      </x:c>
      <x:c r="E118" s="10" t="str">
        <x:v>Routing rules are evaluated on trusted server-side metadata and cannot be altered by unauthorized actors.</x:v>
      </x:c>
      <x:c r="F118" s="10" t="str">
        <x:v>Test values route to expected approval lane without exposing other departments' queues.</x:v>
      </x:c>
      <x:c r="G118" s="10" t="str">
        <x:v>Should</x:v>
      </x:c>
      <x:c r="H118" s="10" t="str">
        <x:v>Enterprise</x:v>
      </x:c>
      <x:c r="I118" s="10" t="str">
        <x:v>Not started</x:v>
      </x:c>
      <x:c r="J118" s="10" t="str"/>
      <x:c r="K118" s="10" t="str"/>
      <x:c r="L118" s="10" t="str"/>
    </x:row>
    <x:row r="119" ht="54" customHeight="1">
      <x:c r="A119" s="10" t="str">
        <x:v>WFL-04</x:v>
      </x:c>
      <x:c r="B119" s="10" t="str">
        <x:v>Workflow engine, approvals and business process automation</x:v>
      </x:c>
      <x:c r="C119" s="10" t="str">
        <x:v>Approval policy templates</x:v>
      </x:c>
      <x:c r="D119" s="10" t="str">
        <x:v>Supply reusable finance, HR, board, procurement, policy and legal approval templates with subsidiary overrides.</x:v>
      </x:c>
      <x:c r="E119" s="10" t="str">
        <x:v>Global minimum sign-offs cannot be bypassed by tenant customizations.</x:v>
      </x:c>
      <x:c r="F119" s="10" t="str">
        <x:v>Tenant customizes SLA but cannot remove mandatory legal approval.</x:v>
      </x:c>
      <x:c r="G119" s="10" t="str">
        <x:v>Should</x:v>
      </x:c>
      <x:c r="H119" s="10" t="str">
        <x:v>Enterprise</x:v>
      </x:c>
      <x:c r="I119" s="10" t="str">
        <x:v>Not started</x:v>
      </x:c>
      <x:c r="J119" s="10" t="str"/>
      <x:c r="K119" s="10" t="str"/>
      <x:c r="L119" s="10" t="str"/>
    </x:row>
    <x:row r="120" ht="54" customHeight="1">
      <x:c r="A120" s="10" t="str">
        <x:v>WFL-05</x:v>
      </x:c>
      <x:c r="B120" s="10" t="str">
        <x:v>Workflow engine, approvals and business process automation</x:v>
      </x:c>
      <x:c r="C120" s="10" t="str">
        <x:v>Task inbox and assignment</x:v>
      </x:c>
      <x:c r="D120" s="10" t="str">
        <x:v>Give users a consolidated tenant-aware task inbox with due date, priority, document context and actions.</x:v>
      </x:c>
      <x:c r="E120" s="10" t="str">
        <x:v>A task alone does not grant document plaintext access without an approved temporary grant.</x:v>
      </x:c>
      <x:c r="F120" s="10" t="str">
        <x:v>Unapproved user sees no file content while assigned tasks respect authorized context.</x:v>
      </x:c>
      <x:c r="G120" s="10" t="str">
        <x:v>Must</x:v>
      </x:c>
      <x:c r="H120" s="10" t="str">
        <x:v>Core</x:v>
      </x:c>
      <x:c r="I120" s="10" t="str">
        <x:v>Not started</x:v>
      </x:c>
      <x:c r="J120" s="10" t="str"/>
      <x:c r="K120" s="10" t="str"/>
      <x:c r="L120" s="10" t="str"/>
    </x:row>
    <x:row r="121" ht="54" customHeight="1">
      <x:c r="A121" s="10" t="str">
        <x:v>WFL-06</x:v>
      </x:c>
      <x:c r="B121" s="10" t="str">
        <x:v>Workflow engine, approvals and business process automation</x:v>
      </x:c>
      <x:c r="C121" s="10" t="str">
        <x:v>Deadline, SLA and escalation</x:v>
      </x:c>
      <x:c r="D121" s="10" t="str">
        <x:v>Define business calendars, reminders, timeouts, delegations and escalation paths with public holidays per tenant.</x:v>
      </x:c>
      <x:c r="E121" s="10" t="str">
        <x:v>Escalation must not silently override least privilege or approve by timeout.</x:v>
      </x:c>
      <x:c r="F121" s="10" t="str">
        <x:v>Overdue task escalates once with traceable notification and no duplicate assignment.</x:v>
      </x:c>
      <x:c r="G121" s="10" t="str">
        <x:v>Should</x:v>
      </x:c>
      <x:c r="H121" s="10" t="str">
        <x:v>Enterprise</x:v>
      </x:c>
      <x:c r="I121" s="10" t="str">
        <x:v>Not started</x:v>
      </x:c>
      <x:c r="J121" s="10" t="str"/>
      <x:c r="K121" s="10" t="str"/>
      <x:c r="L121" s="10" t="str"/>
    </x:row>
    <x:row r="122" ht="54" customHeight="1">
      <x:c r="A122" s="10" t="str">
        <x:v>WFL-07</x:v>
      </x:c>
      <x:c r="B122" s="10" t="str">
        <x:v>Workflow engine, approvals and business process automation</x:v>
      </x:c>
      <x:c r="C122" s="10" t="str">
        <x:v>Approval evidence capture</x:v>
      </x:c>
      <x:c r="D122" s="10" t="str">
        <x:v>Record actor, authentication assurance, version hash, decision, comment, timestamp and policy version.</x:v>
      </x:c>
      <x:c r="E122" s="10" t="str">
        <x:v>Evidence is tamper-evident; approving an out-of-date version is blocked.</x:v>
      </x:c>
      <x:c r="F122" s="10" t="str">
        <x:v>Report reconstructs exactly who approved the published bytes.</x:v>
      </x:c>
      <x:c r="G122" s="10" t="str">
        <x:v>Must</x:v>
      </x:c>
      <x:c r="H122" s="10" t="str">
        <x:v>Core</x:v>
      </x:c>
      <x:c r="I122" s="10" t="str">
        <x:v>Not started</x:v>
      </x:c>
      <x:c r="J122" s="10" t="str"/>
      <x:c r="K122" s="10" t="str"/>
      <x:c r="L122" s="10" t="str"/>
    </x:row>
    <x:row r="123" ht="54" customHeight="1">
      <x:c r="A123" s="10" t="str">
        <x:v>WFL-08</x:v>
      </x:c>
      <x:c r="B123" s="10" t="str">
        <x:v>Workflow engine, approvals and business process automation</x:v>
      </x:c>
      <x:c r="C123" s="10" t="str">
        <x:v>Workflow delegation and substitutes</x:v>
      </x:c>
      <x:c r="D123" s="10" t="str">
        <x:v>Assign substitutes for leave and emergencies with role limits, start/end dates and segregation-of-duties checks.</x:v>
      </x:c>
      <x:c r="E123" s="10" t="str">
        <x:v>Substitute cannot exceed delegator entitlements and approvals remain attributable.</x:v>
      </x:c>
      <x:c r="F123" s="10" t="str">
        <x:v>Substitute handles one permitted task while forbidden approvals remain blocked.</x:v>
      </x:c>
      <x:c r="G123" s="10" t="str">
        <x:v>Should</x:v>
      </x:c>
      <x:c r="H123" s="10" t="str">
        <x:v>Enterprise</x:v>
      </x:c>
      <x:c r="I123" s="10" t="str">
        <x:v>Not started</x:v>
      </x:c>
      <x:c r="J123" s="10" t="str"/>
      <x:c r="K123" s="10" t="str"/>
      <x:c r="L123" s="10" t="str"/>
    </x:row>
    <x:row r="124" ht="54" customHeight="1">
      <x:c r="A124" s="10" t="str">
        <x:v>WFL-09</x:v>
      </x:c>
      <x:c r="B124" s="10" t="str">
        <x:v>Workflow engine, approvals and business process automation</x:v>
      </x:c>
      <x:c r="C124" s="10" t="str">
        <x:v>Rejection and revision loops</x:v>
      </x:c>
      <x:c r="D124" s="10" t="str">
        <x:v>Return documents to authors with structured rejection reasons, preserving the prior approval path and comments.</x:v>
      </x:c>
      <x:c r="E124" s="10" t="str">
        <x:v>Material revision invalidates affected approvals according to policy.</x:v>
      </x:c>
      <x:c r="F124" s="10" t="str">
        <x:v>Rejected draft returns to correct state and new version requires reapproval.</x:v>
      </x:c>
      <x:c r="G124" s="10" t="str">
        <x:v>Must</x:v>
      </x:c>
      <x:c r="H124" s="10" t="str">
        <x:v>Core</x:v>
      </x:c>
      <x:c r="I124" s="10" t="str">
        <x:v>Not started</x:v>
      </x:c>
      <x:c r="J124" s="10" t="str"/>
      <x:c r="K124" s="10" t="str"/>
      <x:c r="L124" s="10" t="str"/>
    </x:row>
    <x:row r="125" ht="54" customHeight="1">
      <x:c r="A125" s="10" t="str">
        <x:v>WFL-10</x:v>
      </x:c>
      <x:c r="B125" s="10" t="str">
        <x:v>Workflow engine, approvals and business process automation</x:v>
      </x:c>
      <x:c r="C125" s="10" t="str">
        <x:v>Automated metadata actions</x:v>
      </x:c>
      <x:c r="D125" s="10" t="str">
        <x:v>Set category, classification, retention, naming and notification values from approved deterministic rules.</x:v>
      </x:c>
      <x:c r="E125" s="10" t="str">
        <x:v>Rule execution runs under restricted service identity and logs before/after changes.</x:v>
      </x:c>
      <x:c r="F125" s="10" t="str">
        <x:v>Workflow applies metadata and rejects a rule that violates locked policy.</x:v>
      </x:c>
      <x:c r="G125" s="10" t="str">
        <x:v>Should</x:v>
      </x:c>
      <x:c r="H125" s="10" t="str">
        <x:v>Enterprise</x:v>
      </x:c>
      <x:c r="I125" s="10" t="str">
        <x:v>Not started</x:v>
      </x:c>
      <x:c r="J125" s="10" t="str"/>
      <x:c r="K125" s="10" t="str"/>
      <x:c r="L125" s="10" t="str"/>
    </x:row>
    <x:row r="126" ht="54" customHeight="1">
      <x:c r="A126" s="10" t="str">
        <x:v>WFL-11</x:v>
      </x:c>
      <x:c r="B126" s="10" t="str">
        <x:v>Workflow engine, approvals and business process automation</x:v>
      </x:c>
      <x:c r="C126" s="10" t="str">
        <x:v>Webhook and connector actions</x:v>
      </x:c>
      <x:c r="D126" s="10" t="str">
        <x:v>Trigger calls to approved ERP, CRM, ticketing or messaging integrations with retries and idempotency.</x:v>
      </x:c>
      <x:c r="E126" s="10" t="str">
        <x:v>No secrets or decrypted sensitive payloads leave protected boundary without explicit connector permission.</x:v>
      </x:c>
      <x:c r="F126" s="10" t="str">
        <x:v>Failed callback retries safely without duplicate invoices or records.</x:v>
      </x:c>
      <x:c r="G126" s="10" t="str">
        <x:v>Should</x:v>
      </x:c>
      <x:c r="H126" s="10" t="str">
        <x:v>Enterprise</x:v>
      </x:c>
      <x:c r="I126" s="10" t="str">
        <x:v>Not started</x:v>
      </x:c>
      <x:c r="J126" s="10" t="str"/>
      <x:c r="K126" s="10" t="str"/>
      <x:c r="L126" s="10" t="str"/>
    </x:row>
    <x:row r="127" ht="54" customHeight="1">
      <x:c r="A127" s="10" t="str">
        <x:v>WFL-12</x:v>
      </x:c>
      <x:c r="B127" s="10" t="str">
        <x:v>Workflow engine, approvals and business process automation</x:v>
      </x:c>
      <x:c r="C127" s="10" t="str">
        <x:v>Workflow monitoring</x:v>
      </x:c>
      <x:c r="D127" s="10" t="str">
        <x:v>Display process map, state, blockers, age, responsible users and historical transitions.</x:v>
      </x:c>
      <x:c r="E127" s="10" t="str">
        <x:v>Monitors cannot access content they do not otherwise hold rights to.</x:v>
      </x:c>
      <x:c r="F127" s="10" t="str">
        <x:v>Tenant manager diagnoses overdue process without revealing another tenant's tasks.</x:v>
      </x:c>
      <x:c r="G127" s="10" t="str">
        <x:v>Should</x:v>
      </x:c>
      <x:c r="H127" s="10" t="str">
        <x:v>Enterprise</x:v>
      </x:c>
      <x:c r="I127" s="10" t="str">
        <x:v>Not started</x:v>
      </x:c>
      <x:c r="J127" s="10" t="str"/>
      <x:c r="K127" s="10" t="str"/>
      <x:c r="L127" s="10" t="str"/>
    </x:row>
    <x:row r="128" ht="54" customHeight="1">
      <x:c r="A128" s="10" t="str">
        <x:v>WFL-13</x:v>
      </x:c>
      <x:c r="B128" s="10" t="str">
        <x:v>Workflow engine, approvals and business process automation</x:v>
      </x:c>
      <x:c r="C128" s="10" t="str">
        <x:v>Bulk approval controls</x:v>
      </x:c>
      <x:c r="D128" s="10" t="str">
        <x:v>Support controlled bulk decisions for low-risk items with per-item review evidence and previews.</x:v>
      </x:c>
      <x:c r="E128" s="10" t="str">
        <x:v>High-risk classes or legal attestations disallow blind bulk approval.</x:v>
      </x:c>
      <x:c r="F128" s="10" t="str">
        <x:v>Mixed authorization batch processes only authorized rows and reports denials.</x:v>
      </x:c>
      <x:c r="G128" s="10" t="str">
        <x:v>Advanced</x:v>
      </x:c>
      <x:c r="H128" s="10" t="str">
        <x:v>Expansion</x:v>
      </x:c>
      <x:c r="I128" s="10" t="str">
        <x:v>Not started</x:v>
      </x:c>
      <x:c r="J128" s="10" t="str"/>
      <x:c r="K128" s="10" t="str"/>
      <x:c r="L128" s="10" t="str"/>
    </x:row>
    <x:row r="129" ht="54" customHeight="1">
      <x:c r="A129" s="10" t="str">
        <x:v>WFL-14</x:v>
      </x:c>
      <x:c r="B129" s="10" t="str">
        <x:v>Workflow engine, approvals and business process automation</x:v>
      </x:c>
      <x:c r="C129" s="10" t="str">
        <x:v>Digital signature integrations</x:v>
      </x:c>
      <x:c r="D129" s="10" t="str">
        <x:v>Integrate approved e-signature providers with secure document dispatch and return of signed originals and audit certificates.</x:v>
      </x:c>
      <x:c r="E129" s="10" t="str">
        <x:v>Jurisdiction-specific legal validity and identity assurance must be configured, not assumed.</x:v>
      </x:c>
      <x:c r="F129" s="10" t="str">
        <x:v>A signature packet returns cryptographically matched signed file and evidence record.</x:v>
      </x:c>
      <x:c r="G129" s="10" t="str">
        <x:v>Should</x:v>
      </x:c>
      <x:c r="H129" s="10" t="str">
        <x:v>Enterprise</x:v>
      </x:c>
      <x:c r="I129" s="10" t="str">
        <x:v>Not started</x:v>
      </x:c>
      <x:c r="J129" s="10" t="str"/>
      <x:c r="K129" s="10" t="str"/>
      <x:c r="L129" s="10" t="str"/>
    </x:row>
    <x:row r="130" ht="54" customHeight="1">
      <x:c r="A130" s="10" t="str">
        <x:v>WFL-15</x:v>
      </x:c>
      <x:c r="B130" s="10" t="str">
        <x:v>Workflow engine, approvals and business process automation</x:v>
      </x:c>
      <x:c r="C130" s="10" t="str">
        <x:v>Forms and intake portals</x:v>
      </x:c>
      <x:c r="D130" s="10" t="str">
        <x:v>Publish structured request forms feeding policy-controlled queues, with conditional fields and attachments.</x:v>
      </x:c>
      <x:c r="E130" s="10" t="str">
        <x:v>Submissions have anti-spam, validation, tenant routing, malware scanning and privacy notices.</x:v>
      </x:c>
      <x:c r="F130" s="10" t="str">
        <x:v>A finance request generates a correctly classified draft with assigned reviewer.</x:v>
      </x:c>
      <x:c r="G130" s="10" t="str">
        <x:v>Should</x:v>
      </x:c>
      <x:c r="H130" s="10" t="str">
        <x:v>Enterprise</x:v>
      </x:c>
      <x:c r="I130" s="10" t="str">
        <x:v>Not started</x:v>
      </x:c>
      <x:c r="J130" s="10" t="str"/>
      <x:c r="K130" s="10" t="str"/>
      <x:c r="L130" s="10" t="str"/>
    </x:row>
    <x:row r="131" ht="54" customHeight="1">
      <x:c r="A131" s="10" t="str">
        <x:v>WFL-16</x:v>
      </x:c>
      <x:c r="B131" s="10" t="str">
        <x:v>Workflow engine, approvals and business process automation</x:v>
      </x:c>
      <x:c r="C131" s="10" t="str">
        <x:v>Case and project workflows</x:v>
      </x:c>
      <x:c r="D131" s="10" t="str">
        <x:v>Group documents, parties, deadlines, decisions and tasks into auditable matter or project cases.</x:v>
      </x:c>
      <x:c r="E131" s="10" t="str">
        <x:v>Matter-based ethical walls deny access regardless of general department membership.</x:v>
      </x:c>
      <x:c r="F131" s="10" t="str">
        <x:v>Project closure archives its record set without purging held documents.</x:v>
      </x:c>
      <x:c r="G131" s="10" t="str">
        <x:v>Should</x:v>
      </x:c>
      <x:c r="H131" s="10" t="str">
        <x:v>Enterprise</x:v>
      </x:c>
      <x:c r="I131" s="10" t="str">
        <x:v>Not started</x:v>
      </x:c>
      <x:c r="J131" s="10" t="str"/>
      <x:c r="K131" s="10" t="str"/>
      <x:c r="L131" s="10" t="str"/>
    </x:row>
    <x:row r="132" ht="54" customHeight="1">
      <x:c r="A132" s="10" t="str">
        <x:v>WFL-17</x:v>
      </x:c>
      <x:c r="B132" s="10" t="str">
        <x:v>Workflow engine, approvals and business process automation</x:v>
      </x:c>
      <x:c r="C132" s="10" t="str">
        <x:v>Process analytics and improvement</x:v>
      </x:c>
      <x:c r="D132" s="10" t="str">
        <x:v>Measure cycle time, rejection reasons, approval bottlenecks, completion and policy exceptions.</x:v>
      </x:c>
      <x:c r="E132" s="10" t="str">
        <x:v>Analytics are aggregated and access-controlled to avoid personnel surveillance misuse.</x:v>
      </x:c>
      <x:c r="F132" s="10" t="str">
        <x:v>Dashboard highlights bottleneck using reproducible workflow history.</x:v>
      </x:c>
      <x:c r="G132" s="10" t="str">
        <x:v>Advanced</x:v>
      </x:c>
      <x:c r="H132" s="10" t="str">
        <x:v>Expansion</x:v>
      </x:c>
      <x:c r="I132" s="10" t="str">
        <x:v>Not started</x:v>
      </x:c>
      <x:c r="J132" s="10" t="str"/>
      <x:c r="K132" s="10" t="str"/>
      <x:c r="L132" s="10" t="str"/>
    </x:row>
    <x:row r="133" ht="54" customHeight="1">
      <x:c r="A133" s="10" t="str">
        <x:v>WFL-18</x:v>
      </x:c>
      <x:c r="B133" s="10" t="str">
        <x:v>Workflow engine, approvals and business process automation</x:v>
      </x:c>
      <x:c r="C133" s="10" t="str">
        <x:v>Rule testing and simulation</x:v>
      </x:c>
      <x:c r="D133" s="10" t="str">
        <x:v>Offer dry-run test fixtures for workflow branches, calendars, role checks and side effects before publication.</x:v>
      </x:c>
      <x:c r="E133" s="10" t="str">
        <x:v>Simulation never sends real data to third parties or alters real records.</x:v>
      </x:c>
      <x:c r="F133" s="10" t="str">
        <x:v>New rule passes predefined scenarios before administrator can publish.</x:v>
      </x:c>
      <x:c r="G133" s="10" t="str">
        <x:v>Should</x:v>
      </x:c>
      <x:c r="H133" s="10" t="str">
        <x:v>Enterprise</x:v>
      </x:c>
      <x:c r="I133" s="10" t="str">
        <x:v>Not started</x:v>
      </x:c>
      <x:c r="J133" s="10" t="str"/>
      <x:c r="K133" s="10" t="str"/>
      <x:c r="L133" s="10" t="str"/>
    </x:row>
    <x:row r="134" ht="54" customHeight="1">
      <x:c r="A134" s="10" t="str">
        <x:v>WFL-19</x:v>
      </x:c>
      <x:c r="B134" s="10" t="str">
        <x:v>Workflow engine, approvals and business process automation</x:v>
      </x:c>
      <x:c r="C134" s="10" t="str">
        <x:v>Policy exception workflow</x:v>
      </x:c>
      <x:c r="D134" s="10" t="str">
        <x:v>Document and approve time-limited exceptions to business procedures with accountable owner and risk acceptance.</x:v>
      </x:c>
      <x:c r="E134" s="10" t="str">
        <x:v>Locked security boundaries cannot be exempted by ordinary workflow.</x:v>
      </x:c>
      <x:c r="F134" s="10" t="str">
        <x:v>Exception automatically expires and is included in oversight reporting.</x:v>
      </x:c>
      <x:c r="G134" s="10" t="str">
        <x:v>Should</x:v>
      </x:c>
      <x:c r="H134" s="10" t="str">
        <x:v>Enterprise</x:v>
      </x:c>
      <x:c r="I134" s="10" t="str">
        <x:v>Not started</x:v>
      </x:c>
      <x:c r="J134" s="10" t="str"/>
      <x:c r="K134" s="10" t="str"/>
      <x:c r="L134" s="10" t="str"/>
    </x:row>
    <x:row r="135" ht="54" customHeight="1">
      <x:c r="A135" s="10" t="str">
        <x:v>REC-01</x:v>
      </x:c>
      <x:c r="B135" s="10" t="str">
        <x:v>Records governance, retention, legal hold and eDiscovery</x:v>
      </x:c>
      <x:c r="C135" s="10" t="str">
        <x:v>Records classification and file plan</x:v>
      </x:c>
      <x:c r="D135" s="10" t="str">
        <x:v>Define record series, business function, legal basis, custodian, cutoff triggers and retention durations per jurisdiction.</x:v>
      </x:c>
      <x:c r="E135" s="10" t="str">
        <x:v>Record schedules have versioned approvals and subsidiary-specific policy restrictions.</x:v>
      </x:c>
      <x:c r="F135" s="10" t="str">
        <x:v>An HR file and a board minute receive different retention classes automatically.</x:v>
      </x:c>
      <x:c r="G135" s="10" t="str">
        <x:v>Must</x:v>
      </x:c>
      <x:c r="H135" s="10" t="str">
        <x:v>Core</x:v>
      </x:c>
      <x:c r="I135" s="10" t="str">
        <x:v>Not started</x:v>
      </x:c>
      <x:c r="J135" s="10" t="str"/>
      <x:c r="K135" s="10" t="str"/>
      <x:c r="L135" s="10" t="str"/>
    </x:row>
    <x:row r="136" ht="54" customHeight="1">
      <x:c r="A136" s="10" t="str">
        <x:v>REC-02</x:v>
      </x:c>
      <x:c r="B136" s="10" t="str">
        <x:v>Records governance, retention, legal hold and eDiscovery</x:v>
      </x:c>
      <x:c r="C136" s="10" t="str">
        <x:v>Record declaration and immutability</x:v>
      </x:c>
      <x:c r="D136" s="10" t="str">
        <x:v>Declare a final version as a controlled record and prevent unauthorized editing, overwriting or premature deletion.</x:v>
      </x:c>
      <x:c r="E136" s="10" t="str">
        <x:v>Record lock is enforced by storage, authorization and workflow, not a UI toggle alone.</x:v>
      </x:c>
      <x:c r="F136" s="10" t="str">
        <x:v>Attempted alteration of a locked record fails and generates evidence.</x:v>
      </x:c>
      <x:c r="G136" s="10" t="str">
        <x:v>Must</x:v>
      </x:c>
      <x:c r="H136" s="10" t="str">
        <x:v>Core</x:v>
      </x:c>
      <x:c r="I136" s="10" t="str">
        <x:v>Not started</x:v>
      </x:c>
      <x:c r="J136" s="10" t="str"/>
      <x:c r="K136" s="10" t="str"/>
      <x:c r="L136" s="10" t="str"/>
    </x:row>
    <x:row r="137" ht="54" customHeight="1">
      <x:c r="A137" s="10" t="str">
        <x:v>REC-03</x:v>
      </x:c>
      <x:c r="B137" s="10" t="str">
        <x:v>Records governance, retention, legal hold and eDiscovery</x:v>
      </x:c>
      <x:c r="C137" s="10" t="str">
        <x:v>Event-based retention</x:v>
      </x:c>
      <x:c r="D137" s="10" t="str">
        <x:v>Start retention on contract expiry, employment termination, case closure, fiscal year end or other verified event.</x:v>
      </x:c>
      <x:c r="E137" s="10" t="str">
        <x:v>Events are recorded with provenance and cannot be backdated casually.</x:v>
      </x:c>
      <x:c r="F137" s="10" t="str">
        <x:v>Retention countdown starts only after validated triggering event.</x:v>
      </x:c>
      <x:c r="G137" s="10" t="str">
        <x:v>Should</x:v>
      </x:c>
      <x:c r="H137" s="10" t="str">
        <x:v>Enterprise</x:v>
      </x:c>
      <x:c r="I137" s="10" t="str">
        <x:v>Not started</x:v>
      </x:c>
      <x:c r="J137" s="10" t="str"/>
      <x:c r="K137" s="10" t="str"/>
      <x:c r="L137" s="10" t="str"/>
    </x:row>
    <x:row r="138" ht="54" customHeight="1">
      <x:c r="A138" s="10" t="str">
        <x:v>REC-04</x:v>
      </x:c>
      <x:c r="B138" s="10" t="str">
        <x:v>Records governance, retention, legal hold and eDiscovery</x:v>
      </x:c>
      <x:c r="C138" s="10" t="str">
        <x:v>Multiple overlapping policies</x:v>
      </x:c>
      <x:c r="D138" s="10" t="str">
        <x:v>Evaluate global floor, tenant policy, record class, legal holds and applicable jurisdiction simultaneously.</x:v>
      </x:c>
      <x:c r="E138" s="10" t="str">
        <x:v>Preserve the longest applicable lawful hold; explicit precedence rules are documented.</x:v>
      </x:c>
      <x:c r="F138" s="10" t="str">
        <x:v>Conflicting rules yield reproducible retention and disposition decisions.</x:v>
      </x:c>
      <x:c r="G138" s="10" t="str">
        <x:v>Must</x:v>
      </x:c>
      <x:c r="H138" s="10" t="str">
        <x:v>Core</x:v>
      </x:c>
      <x:c r="I138" s="10" t="str">
        <x:v>Not started</x:v>
      </x:c>
      <x:c r="J138" s="10" t="str"/>
      <x:c r="K138" s="10" t="str"/>
      <x:c r="L138" s="10" t="str"/>
    </x:row>
    <x:row r="139" ht="54" customHeight="1">
      <x:c r="A139" s="10" t="str">
        <x:v>REC-05</x:v>
      </x:c>
      <x:c r="B139" s="10" t="str">
        <x:v>Records governance, retention, legal hold and eDiscovery</x:v>
      </x:c>
      <x:c r="C139" s="10" t="str">
        <x:v>Litigation and investigation holds</x:v>
      </x:c>
      <x:c r="D139" s="10" t="str">
        <x:v>Suspend deletion and relevant modification for matters, custodians, folders, documents and search-preserved scopes.</x:v>
      </x:c>
      <x:c r="E139" s="10" t="str">
        <x:v>Creation and release require authorized legal actions with protected audit trails.</x:v>
      </x:c>
      <x:c r="F139" s="10" t="str">
        <x:v>Held record cannot be purged even by tenant administrator.</x:v>
      </x:c>
      <x:c r="G139" s="10" t="str">
        <x:v>Must</x:v>
      </x:c>
      <x:c r="H139" s="10" t="str">
        <x:v>Core</x:v>
      </x:c>
      <x:c r="I139" s="10" t="str">
        <x:v>Not started</x:v>
      </x:c>
      <x:c r="J139" s="10" t="str"/>
      <x:c r="K139" s="10" t="str"/>
      <x:c r="L139" s="10" t="str"/>
    </x:row>
    <x:row r="140" ht="54" customHeight="1">
      <x:c r="A140" s="10" t="str">
        <x:v>REC-06</x:v>
      </x:c>
      <x:c r="B140" s="10" t="str">
        <x:v>Records governance, retention, legal hold and eDiscovery</x:v>
      </x:c>
      <x:c r="C140" s="10" t="str">
        <x:v>Legal hold notification and acknowledgment</x:v>
      </x:c>
      <x:c r="D140" s="10" t="str">
        <x:v>Notify custodians, manage acknowledgments, reminders and hold release evidence.</x:v>
      </x:c>
      <x:c r="E140" s="10" t="str">
        <x:v>Notices use minimum necessary case detail and protect attorney-privileged information.</x:v>
      </x:c>
      <x:c r="F140" s="10" t="str">
        <x:v>Custodian action history is retained for a test legal hold.</x:v>
      </x:c>
      <x:c r="G140" s="10" t="str">
        <x:v>Should</x:v>
      </x:c>
      <x:c r="H140" s="10" t="str">
        <x:v>Enterprise</x:v>
      </x:c>
      <x:c r="I140" s="10" t="str">
        <x:v>Not started</x:v>
      </x:c>
      <x:c r="J140" s="10" t="str"/>
      <x:c r="K140" s="10" t="str"/>
      <x:c r="L140" s="10" t="str"/>
    </x:row>
    <x:row r="141" ht="54" customHeight="1">
      <x:c r="A141" s="10" t="str">
        <x:v>REC-07</x:v>
      </x:c>
      <x:c r="B141" s="10" t="str">
        <x:v>Records governance, retention, legal hold and eDiscovery</x:v>
      </x:c>
      <x:c r="C141" s="10" t="str">
        <x:v>Disposition review</x:v>
      </x:c>
      <x:c r="D141" s="10" t="str">
        <x:v>Queue eligible records for owner/legal approval before deletion, archival transfer or long-term preservation.</x:v>
      </x:c>
      <x:c r="E141" s="10" t="str">
        <x:v>Records under hold or appeal cannot enter irreversible deletion.</x:v>
      </x:c>
      <x:c r="F141" s="10" t="str">
        <x:v>Two approved reviewers authorize eligible disposition while blocked items remain intact.</x:v>
      </x:c>
      <x:c r="G141" s="10" t="str">
        <x:v>Must</x:v>
      </x:c>
      <x:c r="H141" s="10" t="str">
        <x:v>Core</x:v>
      </x:c>
      <x:c r="I141" s="10" t="str">
        <x:v>Not started</x:v>
      </x:c>
      <x:c r="J141" s="10" t="str"/>
      <x:c r="K141" s="10" t="str"/>
      <x:c r="L141" s="10" t="str"/>
    </x:row>
    <x:row r="142" ht="54" customHeight="1">
      <x:c r="A142" s="10" t="str">
        <x:v>REC-08</x:v>
      </x:c>
      <x:c r="B142" s="10" t="str">
        <x:v>Records governance, retention, legal hold and eDiscovery</x:v>
      </x:c>
      <x:c r="C142" s="10" t="str">
        <x:v>Disposition certificates</x:v>
      </x:c>
      <x:c r="D142" s="10" t="str">
        <x:v>Produce tamper-evident certificates describing record identity, schedule, reviewers, action time and integrity manifest.</x:v>
      </x:c>
      <x:c r="E142" s="10" t="str">
        <x:v>Certificates minimize confidential names while preserving evidentiary authenticity.</x:v>
      </x:c>
      <x:c r="F142" s="10" t="str">
        <x:v>Auditor verifies a disposition certificate against audit log and executed job.</x:v>
      </x:c>
      <x:c r="G142" s="10" t="str">
        <x:v>Should</x:v>
      </x:c>
      <x:c r="H142" s="10" t="str">
        <x:v>Enterprise</x:v>
      </x:c>
      <x:c r="I142" s="10" t="str">
        <x:v>Not started</x:v>
      </x:c>
      <x:c r="J142" s="10" t="str"/>
      <x:c r="K142" s="10" t="str"/>
      <x:c r="L142" s="10" t="str"/>
    </x:row>
    <x:row r="143" ht="54" customHeight="1">
      <x:c r="A143" s="10" t="str">
        <x:v>REC-09</x:v>
      </x:c>
      <x:c r="B143" s="10" t="str">
        <x:v>Records governance, retention, legal hold and eDiscovery</x:v>
      </x:c>
      <x:c r="C143" s="10" t="str">
        <x:v>WORM or object-lock support</x:v>
      </x:c>
      <x:c r="D143" s="10" t="str">
        <x:v>Optionally use compliant immutable object storage for designated records, backups and evidence.</x:v>
      </x:c>
      <x:c r="E143" s="10" t="str">
        <x:v>Retention locks are provisioned before content exposure and changes respect platform constraints.</x:v>
      </x:c>
      <x:c r="F143" s="10" t="str">
        <x:v>Unauthorized API overwrite and deletion of locked object fail.</x:v>
      </x:c>
      <x:c r="G143" s="10" t="str">
        <x:v>Should</x:v>
      </x:c>
      <x:c r="H143" s="10" t="str">
        <x:v>Enterprise</x:v>
      </x:c>
      <x:c r="I143" s="10" t="str">
        <x:v>Not started</x:v>
      </x:c>
      <x:c r="J143" s="10" t="str"/>
      <x:c r="K143" s="10" t="str"/>
      <x:c r="L143" s="10" t="str"/>
    </x:row>
    <x:row r="144" ht="54" customHeight="1">
      <x:c r="A144" s="10" t="str">
        <x:v>REC-10</x:v>
      </x:c>
      <x:c r="B144" s="10" t="str">
        <x:v>Records governance, retention, legal hold and eDiscovery</x:v>
      </x:c>
      <x:c r="C144" s="10" t="str">
        <x:v>Retention clock simulation</x:v>
      </x:c>
      <x:c r="D144" s="10" t="str">
        <x:v>Preview dates, overlaps, trigger sources and affected file counts when policies change.</x:v>
      </x:c>
      <x:c r="E144" s="10" t="str">
        <x:v>Preview cannot reveal documents inaccessible to the requestor.</x:v>
      </x:c>
      <x:c r="F144" s="10" t="str">
        <x:v>Policy change produces impact estimate and approval gate before activation.</x:v>
      </x:c>
      <x:c r="G144" s="10" t="str">
        <x:v>Should</x:v>
      </x:c>
      <x:c r="H144" s="10" t="str">
        <x:v>Enterprise</x:v>
      </x:c>
      <x:c r="I144" s="10" t="str">
        <x:v>Not started</x:v>
      </x:c>
      <x:c r="J144" s="10" t="str"/>
      <x:c r="K144" s="10" t="str"/>
      <x:c r="L144" s="10" t="str"/>
    </x:row>
    <x:row r="145" ht="54" customHeight="1">
      <x:c r="A145" s="10" t="str">
        <x:v>REC-11</x:v>
      </x:c>
      <x:c r="B145" s="10" t="str">
        <x:v>Records governance, retention, legal hold and eDiscovery</x:v>
      </x:c>
      <x:c r="C145" s="10" t="str">
        <x:v>Controlled archives</x:v>
      </x:c>
      <x:c r="D145" s="10" t="str">
        <x:v>Move inactive records to lower-cost archives while preserving IDs, holds, integrity, authorized retrieval and geographic policy.</x:v>
      </x:c>
      <x:c r="E145" s="10" t="str">
        <x:v>Retrieval requests recheck current identity, access and decryption entitlements.</x:v>
      </x:c>
      <x:c r="F145" s="10" t="str">
        <x:v>Archived record can be restored for legal review within a defined SLA.</x:v>
      </x:c>
      <x:c r="G145" s="10" t="str">
        <x:v>Should</x:v>
      </x:c>
      <x:c r="H145" s="10" t="str">
        <x:v>Enterprise</x:v>
      </x:c>
      <x:c r="I145" s="10" t="str">
        <x:v>Not started</x:v>
      </x:c>
      <x:c r="J145" s="10" t="str"/>
      <x:c r="K145" s="10" t="str"/>
      <x:c r="L145" s="10" t="str"/>
    </x:row>
    <x:row r="146" ht="54" customHeight="1">
      <x:c r="A146" s="10" t="str">
        <x:v>REC-12</x:v>
      </x:c>
      <x:c r="B146" s="10" t="str">
        <x:v>Records governance, retention, legal hold and eDiscovery</x:v>
      </x:c>
      <x:c r="C146" s="10" t="str">
        <x:v>Legal case repository</x:v>
      </x:c>
      <x:c r="D146" s="10" t="str">
        <x:v>Group holds, preserved files, custodians, matter timelines and review decisions in restricted investigation workspaces.</x:v>
      </x:c>
      <x:c r="E146" s="10" t="str">
        <x:v>Ethical walls prevent normal tenant admins from accessing confidential legal cases.</x:v>
      </x:c>
      <x:c r="F146" s="10" t="str">
        <x:v>Matter team sees only designated records and a complete collection ledger.</x:v>
      </x:c>
      <x:c r="G146" s="10" t="str">
        <x:v>Should</x:v>
      </x:c>
      <x:c r="H146" s="10" t="str">
        <x:v>Enterprise</x:v>
      </x:c>
      <x:c r="I146" s="10" t="str">
        <x:v>Not started</x:v>
      </x:c>
      <x:c r="J146" s="10" t="str"/>
      <x:c r="K146" s="10" t="str"/>
      <x:c r="L146" s="10" t="str"/>
    </x:row>
    <x:row r="147" ht="54" customHeight="1">
      <x:c r="A147" s="10" t="str">
        <x:v>REC-13</x:v>
      </x:c>
      <x:c r="B147" s="10" t="str">
        <x:v>Records governance, retention, legal hold and eDiscovery</x:v>
      </x:c>
      <x:c r="C147" s="10" t="str">
        <x:v>Discovery search and exports</x:v>
      </x:c>
      <x:c r="D147" s="10" t="str">
        <x:v>Perform access-controlled collections across permitted records with date, metadata and content filters where processing mode allows.</x:v>
      </x:c>
      <x:c r="E147" s="10" t="str">
        <x:v>Zero-knowledge materials require authorized trusted-client participation for content review.</x:v>
      </x:c>
      <x:c r="F147" s="10" t="str">
        <x:v>eDiscovery package lists exact versions, hashes, custody events and omitted encrypted items.</x:v>
      </x:c>
      <x:c r="G147" s="10" t="str">
        <x:v>Should</x:v>
      </x:c>
      <x:c r="H147" s="10" t="str">
        <x:v>Enterprise</x:v>
      </x:c>
      <x:c r="I147" s="10" t="str">
        <x:v>Not started</x:v>
      </x:c>
      <x:c r="J147" s="10" t="str"/>
      <x:c r="K147" s="10" t="str"/>
      <x:c r="L147" s="10" t="str"/>
    </x:row>
    <x:row r="148" ht="54" customHeight="1">
      <x:c r="A148" s="10" t="str">
        <x:v>REC-14</x:v>
      </x:c>
      <x:c r="B148" s="10" t="str">
        <x:v>Records governance, retention, legal hold and eDiscovery</x:v>
      </x:c>
      <x:c r="C148" s="10" t="str">
        <x:v>Chain of custody</x:v>
      </x:c>
      <x:c r="D148" s="10" t="str">
        <x:v>Append verifiable receipt, transfer, processing, signature and retrieval events to an evidence ledger.</x:v>
      </x:c>
      <x:c r="E148" s="10" t="str">
        <x:v>Timestamp and signatures rely on independent trusted sources and rotation policies.</x:v>
      </x:c>
      <x:c r="F148" s="10" t="str">
        <x:v>Altered custody record is detected during external verification.</x:v>
      </x:c>
      <x:c r="G148" s="10" t="str">
        <x:v>Should</x:v>
      </x:c>
      <x:c r="H148" s="10" t="str">
        <x:v>Enterprise</x:v>
      </x:c>
      <x:c r="I148" s="10" t="str">
        <x:v>Not started</x:v>
      </x:c>
      <x:c r="J148" s="10" t="str"/>
      <x:c r="K148" s="10" t="str"/>
      <x:c r="L148" s="10" t="str"/>
    </x:row>
    <x:row r="149" ht="54" customHeight="1">
      <x:c r="A149" s="10" t="str">
        <x:v>REC-15</x:v>
      </x:c>
      <x:c r="B149" s="10" t="str">
        <x:v>Records governance, retention, legal hold and eDiscovery</x:v>
      </x:c>
      <x:c r="C149" s="10" t="str">
        <x:v>Privacy deletion requests</x:v>
      </x:c>
      <x:c r="D149" s="10" t="str">
        <x:v>Route authorized personal-data erasure requests through applicable retention and litigation exceptions.</x:v>
      </x:c>
      <x:c r="E149" s="10" t="str">
        <x:v>Deletion never bypasses valid legal hold; requester receives accurate exception explanation.</x:v>
      </x:c>
      <x:c r="F149" s="10" t="str">
        <x:v>Approved erasure deletes eligible copies through tracked lifecycle and reports remaining lawful holds.</x:v>
      </x:c>
      <x:c r="G149" s="10" t="str">
        <x:v>Should</x:v>
      </x:c>
      <x:c r="H149" s="10" t="str">
        <x:v>Enterprise</x:v>
      </x:c>
      <x:c r="I149" s="10" t="str">
        <x:v>Not started</x:v>
      </x:c>
      <x:c r="J149" s="10" t="str"/>
      <x:c r="K149" s="10" t="str"/>
      <x:c r="L149" s="10" t="str"/>
    </x:row>
    <x:row r="150" ht="54" customHeight="1">
      <x:c r="A150" s="10" t="str">
        <x:v>REC-16</x:v>
      </x:c>
      <x:c r="B150" s="10" t="str">
        <x:v>Records governance, retention, legal hold and eDiscovery</x:v>
      </x:c>
      <x:c r="C150" s="10" t="str">
        <x:v>Retention for comments, messages and AI artifacts</x:v>
      </x:c>
      <x:c r="D150" s="10" t="str">
        <x:v>Govern discussions, generated summaries, OCR, caches, vector indexes and workflow evidence, not only document binaries.</x:v>
      </x:c>
      <x:c r="E150" s="10" t="str">
        <x:v>Derived data cannot outlive source restrictions without independent legal retention basis.</x:v>
      </x:c>
      <x:c r="F150" s="10" t="str">
        <x:v>Disposing a document triggers all eligible derived-data deletion tasks.</x:v>
      </x:c>
      <x:c r="G150" s="10" t="str">
        <x:v>Should</x:v>
      </x:c>
      <x:c r="H150" s="10" t="str">
        <x:v>Enterprise</x:v>
      </x:c>
      <x:c r="I150" s="10" t="str">
        <x:v>Not started</x:v>
      </x:c>
      <x:c r="J150" s="10" t="str"/>
      <x:c r="K150" s="10" t="str"/>
      <x:c r="L150" s="10" t="str"/>
    </x:row>
    <x:row r="151" ht="54" customHeight="1">
      <x:c r="A151" s="10" t="str">
        <x:v>REC-17</x:v>
      </x:c>
      <x:c r="B151" s="10" t="str">
        <x:v>Records governance, retention, legal hold and eDiscovery</x:v>
      </x:c>
      <x:c r="C151" s="10" t="str">
        <x:v>Paper and hybrid records</x:v>
      </x:c>
      <x:c r="D151" s="10" t="str">
        <x:v>Track physical box locations, checkouts, destruction vendors, barcode transfers and scanned surrogates.</x:v>
      </x:c>
      <x:c r="E151" s="10" t="str">
        <x:v>Physical location metadata is confidential and all custody actions are authenticated.</x:v>
      </x:c>
      <x:c r="F151" s="10" t="str">
        <x:v>Paper record movement generates signed or attributable custody events.</x:v>
      </x:c>
      <x:c r="G151" s="10" t="str">
        <x:v>Advanced</x:v>
      </x:c>
      <x:c r="H151" s="10" t="str">
        <x:v>Expansion</x:v>
      </x:c>
      <x:c r="I151" s="10" t="str">
        <x:v>Not started</x:v>
      </x:c>
      <x:c r="J151" s="10" t="str"/>
      <x:c r="K151" s="10" t="str"/>
      <x:c r="L151" s="10" t="str"/>
    </x:row>
    <x:row r="152" ht="54" customHeight="1">
      <x:c r="A152" s="10" t="str">
        <x:v>REC-18</x:v>
      </x:c>
      <x:c r="B152" s="10" t="str">
        <x:v>Records governance, retention, legal hold and eDiscovery</x:v>
      </x:c>
      <x:c r="C152" s="10" t="str">
        <x:v>Policy record registers</x:v>
      </x:c>
      <x:c r="D152" s="10" t="str">
        <x:v>Publish effective policy registers, superseded versions, attestation records and regulatory reference mappings.</x:v>
      </x:c>
      <x:c r="E152" s="10" t="str">
        <x:v>Historical policy text cannot be relabeled current after withdrawal.</x:v>
      </x:c>
      <x:c r="F152" s="10" t="str">
        <x:v>User can find current policy and see its effective and supersession dates.</x:v>
      </x:c>
      <x:c r="G152" s="10" t="str">
        <x:v>Should</x:v>
      </x:c>
      <x:c r="H152" s="10" t="str">
        <x:v>Enterprise</x:v>
      </x:c>
      <x:c r="I152" s="10" t="str">
        <x:v>Not started</x:v>
      </x:c>
      <x:c r="J152" s="10" t="str"/>
      <x:c r="K152" s="10" t="str"/>
      <x:c r="L152" s="10" t="str"/>
    </x:row>
    <x:row r="153" ht="54" customHeight="1">
      <x:c r="A153" s="10" t="str">
        <x:v>ENC-01</x:v>
      </x:c>
      <x:c r="B153" s="10" t="str">
        <x:v>Cryptography, zero-knowledge mode and key management</x:v>
      </x:c>
      <x:c r="C153" s="10" t="str">
        <x:v>Two explicit confidentiality modes</x:v>
      </x:c>
      <x:c r="D153" s="10" t="str">
        <x:v>Support Managed Secure Mode and Zero-Knowledge Mode with different processing, search, recovery and collaboration contracts.</x:v>
      </x:c>
      <x:c r="E153" s="10" t="str">
        <x:v>Mode may not downgrade silently; conversions require risk notice, rights and audited re-encryption workflow.</x:v>
      </x:c>
      <x:c r="F153" s="10" t="str">
        <x:v>Test each mode's documented capabilities and deny unsupported server-side operations.</x:v>
      </x:c>
      <x:c r="G153" s="10" t="str">
        <x:v>Must</x:v>
      </x:c>
      <x:c r="H153" s="10" t="str">
        <x:v>Core</x:v>
      </x:c>
      <x:c r="I153" s="10" t="str">
        <x:v>Not started</x:v>
      </x:c>
      <x:c r="J153" s="10" t="str"/>
      <x:c r="K153" s="10" t="str"/>
      <x:c r="L153" s="10" t="str"/>
    </x:row>
    <x:row r="154" ht="54" customHeight="1">
      <x:c r="A154" s="10" t="str">
        <x:v>ENC-02</x:v>
      </x:c>
      <x:c r="B154" s="10" t="str">
        <x:v>Cryptography, zero-knowledge mode and key management</x:v>
      </x:c>
      <x:c r="C154" s="10" t="str">
        <x:v>Trusted independent client</x:v>
      </x:c>
      <x:c r="D154" s="10" t="str">
        <x:v>Deliver zero-knowledge document viewer and key operations from a separately controlled, strongly authenticated application origin or signed desktop/mobile package.</x:v>
      </x:c>
      <x:c r="E154" s="10" t="str">
        <x:v>Compromised WordPress HTML, plugins or scripts cannot receive client private keys or plaintext via shared origin.</x:v>
      </x:c>
      <x:c r="F154" s="10" t="str">
        <x:v>Red-team control of WordPress cannot use its scripts or API token to decrypt protected ciphertext.</x:v>
      </x:c>
      <x:c r="G154" s="10" t="str">
        <x:v>Must</x:v>
      </x:c>
      <x:c r="H154" s="10" t="str">
        <x:v>Core</x:v>
      </x:c>
      <x:c r="I154" s="10" t="str">
        <x:v>Not started</x:v>
      </x:c>
      <x:c r="J154" s="10" t="str"/>
      <x:c r="K154" s="10" t="str"/>
      <x:c r="L154" s="10" t="str"/>
    </x:row>
    <x:row r="155" ht="54" customHeight="1">
      <x:c r="A155" s="10" t="str">
        <x:v>ENC-03</x:v>
      </x:c>
      <x:c r="B155" s="10" t="str">
        <x:v>Cryptography, zero-knowledge mode and key management</x:v>
      </x:c>
      <x:c r="C155" s="10" t="str">
        <x:v>Per-version data encryption keys</x:v>
      </x:c>
      <x:c r="D155" s="10" t="str">
        <x:v>Generate independent random data-encryption keys for new immutable document versions using reviewed authenticated encryption.</x:v>
      </x:c>
      <x:c r="E155" s="10" t="str">
        <x:v>Secure randomness, unique nonces, authenticated context and version binding are mandatory.</x:v>
      </x:c>
      <x:c r="F155" s="10" t="str">
        <x:v>Tampering with nonce, ciphertext or document identity yields authentication failure.</x:v>
      </x:c>
      <x:c r="G155" s="10" t="str">
        <x:v>Must</x:v>
      </x:c>
      <x:c r="H155" s="10" t="str">
        <x:v>Core</x:v>
      </x:c>
      <x:c r="I155" s="10" t="str">
        <x:v>Not started</x:v>
      </x:c>
      <x:c r="J155" s="10" t="str"/>
      <x:c r="K155" s="10" t="str"/>
      <x:c r="L155" s="10" t="str"/>
    </x:row>
    <x:row r="156" ht="54" customHeight="1">
      <x:c r="A156" s="10" t="str">
        <x:v>ENC-04</x:v>
      </x:c>
      <x:c r="B156" s="10" t="str">
        <x:v>Cryptography, zero-knowledge mode and key management</x:v>
      </x:c>
      <x:c r="C156" s="10" t="str">
        <x:v>Client-side encryption and decryption</x:v>
      </x:c>
      <x:c r="D156" s="10" t="str">
        <x:v>Encrypt zero-knowledge documents before upload and decrypt only inside trusted client after independent authorization and key checks.</x:v>
      </x:c>
      <x:c r="E156" s="10" t="str">
        <x:v>WordPress and ordinary document API never receive unwrapped keys or plaintext.</x:v>
      </x:c>
      <x:c r="F156" s="10" t="str">
        <x:v>Database, object storage and WordPress compromise yields no readable protected document.</x:v>
      </x:c>
      <x:c r="G156" s="10" t="str">
        <x:v>Must</x:v>
      </x:c>
      <x:c r="H156" s="10" t="str">
        <x:v>Core</x:v>
      </x:c>
      <x:c r="I156" s="10" t="str">
        <x:v>Not started</x:v>
      </x:c>
      <x:c r="J156" s="10" t="str"/>
      <x:c r="K156" s="10" t="str"/>
      <x:c r="L156" s="10" t="str"/>
    </x:row>
    <x:row r="157" ht="54" customHeight="1">
      <x:c r="A157" s="10" t="str">
        <x:v>ENC-05</x:v>
      </x:c>
      <x:c r="B157" s="10" t="str">
        <x:v>Cryptography, zero-knowledge mode and key management</x:v>
      </x:c>
      <x:c r="C157" s="10" t="str">
        <x:v>Envelope encryption in managed mode</x:v>
      </x:c>
      <x:c r="D157" s="10" t="str">
        <x:v>Encrypt objects with per-version DEKs wrapped by tenant-scoped KMS/HSM-protected KEKs and tightly constrained service permissions.</x:v>
      </x:c>
      <x:c r="E157" s="10" t="str">
        <x:v>KMS authority is inaccessible to WordPress runtime; managed-service compromise still carries plaintext risk.</x:v>
      </x:c>
      <x:c r="F157" s="10" t="str">
        <x:v>Copying only object store and database cannot decrypt content without external key service.</x:v>
      </x:c>
      <x:c r="G157" s="10" t="str">
        <x:v>Must</x:v>
      </x:c>
      <x:c r="H157" s="10" t="str">
        <x:v>Core</x:v>
      </x:c>
      <x:c r="I157" s="10" t="str">
        <x:v>Not started</x:v>
      </x:c>
      <x:c r="J157" s="10" t="str"/>
      <x:c r="K157" s="10" t="str"/>
      <x:c r="L157" s="10" t="str"/>
    </x:row>
    <x:row r="158" ht="54" customHeight="1">
      <x:c r="A158" s="10" t="str">
        <x:v>ENC-06</x:v>
      </x:c>
      <x:c r="B158" s="10" t="str">
        <x:v>Cryptography, zero-knowledge mode and key management</x:v>
      </x:c>
      <x:c r="C158" s="10" t="str">
        <x:v>Tenant-separated root trust</x:v>
      </x:c>
      <x:c r="D158" s="10" t="str">
        <x:v>Assign tenant-specific or risk-based isolated key domains and independently managed grants, with disaster recovery design.</x:v>
      </x:c>
      <x:c r="E158" s="10" t="str">
        <x:v>Subsidiary keys cannot unwrap any other subsidiary's records.</x:v>
      </x:c>
      <x:c r="F158" s="10" t="str">
        <x:v>Cross-tenant key substitution fails even with valid encrypted blobs.</x:v>
      </x:c>
      <x:c r="G158" s="10" t="str">
        <x:v>Must</x:v>
      </x:c>
      <x:c r="H158" s="10" t="str">
        <x:v>Core</x:v>
      </x:c>
      <x:c r="I158" s="10" t="str">
        <x:v>Not started</x:v>
      </x:c>
      <x:c r="J158" s="10" t="str"/>
      <x:c r="K158" s="10" t="str"/>
      <x:c r="L158" s="10" t="str"/>
    </x:row>
    <x:row r="159" ht="54" customHeight="1">
      <x:c r="A159" s="10" t="str">
        <x:v>ENC-07</x:v>
      </x:c>
      <x:c r="B159" s="10" t="str">
        <x:v>Cryptography, zero-knowledge mode and key management</x:v>
      </x:c>
      <x:c r="C159" s="10" t="str">
        <x:v>Recipient and group key wrapping</x:v>
      </x:c>
      <x:c r="D159" s="10" t="str">
        <x:v>Encrypt each zero-knowledge document DEK to approved user/device/group keys using a reviewed recipient-encryption protocol.</x:v>
      </x:c>
      <x:c r="E159" s="10" t="str">
        <x:v>Server cannot forge a new recipient without verifiable client-authorized key distribution.</x:v>
      </x:c>
      <x:c r="F159" s="10" t="str">
        <x:v>Uninvited account with stolen server session cannot derive file key.</x:v>
      </x:c>
      <x:c r="G159" s="10" t="str">
        <x:v>Must</x:v>
      </x:c>
      <x:c r="H159" s="10" t="str">
        <x:v>Core</x:v>
      </x:c>
      <x:c r="I159" s="10" t="str">
        <x:v>Not started</x:v>
      </x:c>
      <x:c r="J159" s="10" t="str"/>
      <x:c r="K159" s="10" t="str"/>
      <x:c r="L159" s="10" t="str"/>
    </x:row>
    <x:row r="160" ht="54" customHeight="1">
      <x:c r="A160" s="10" t="str">
        <x:v>ENC-08</x:v>
      </x:c>
      <x:c r="B160" s="10" t="str">
        <x:v>Cryptography, zero-knowledge mode and key management</x:v>
      </x:c>
      <x:c r="C160" s="10" t="str">
        <x:v>Key identity transparency</x:v>
      </x:c>
      <x:c r="D160" s="10" t="str">
        <x:v>Provide verified device identities, recipient key history and mechanisms to detect unauthorized recipient-key changes.</x:v>
      </x:c>
      <x:c r="E160" s="10" t="str">
        <x:v>Trust-on-first-use limitations are documented; use signed directories and out-of-band verification for high-risk groups.</x:v>
      </x:c>
      <x:c r="F160" s="10" t="str">
        <x:v>Unexpected public-key replacement requires validation and alerts affected users.</x:v>
      </x:c>
      <x:c r="G160" s="10" t="str">
        <x:v>Should</x:v>
      </x:c>
      <x:c r="H160" s="10" t="str">
        <x:v>Enterprise</x:v>
      </x:c>
      <x:c r="I160" s="10" t="str">
        <x:v>Not started</x:v>
      </x:c>
      <x:c r="J160" s="10" t="str"/>
      <x:c r="K160" s="10" t="str"/>
      <x:c r="L160" s="10" t="str"/>
    </x:row>
    <x:row r="161" ht="54" customHeight="1">
      <x:c r="A161" s="10" t="str">
        <x:v>ENC-09</x:v>
      </x:c>
      <x:c r="B161" s="10" t="str">
        <x:v>Cryptography, zero-knowledge mode and key management</x:v>
      </x:c>
      <x:c r="C161" s="10" t="str">
        <x:v>Key sharing across subsidiaries</x:v>
      </x:c>
      <x:c r="D161" s="10" t="str">
        <x:v>Use explicit consent and rewrapping to additional recipient keys without copying unrestricted plaintext through WordPress.</x:v>
      </x:c>
      <x:c r="E161" s="10" t="str">
        <x:v>Both tenant policies and document ACL must allow disclosure.</x:v>
      </x:c>
      <x:c r="F161" s="10" t="str">
        <x:v>Shared protected document opens for named external tenant recipients only.</x:v>
      </x:c>
      <x:c r="G161" s="10" t="str">
        <x:v>Should</x:v>
      </x:c>
      <x:c r="H161" s="10" t="str">
        <x:v>Enterprise</x:v>
      </x:c>
      <x:c r="I161" s="10" t="str">
        <x:v>Not started</x:v>
      </x:c>
      <x:c r="J161" s="10" t="str"/>
      <x:c r="K161" s="10" t="str"/>
      <x:c r="L161" s="10" t="str"/>
    </x:row>
    <x:row r="162" ht="54" customHeight="1">
      <x:c r="A162" s="10" t="str">
        <x:v>ENC-10</x:v>
      </x:c>
      <x:c r="B162" s="10" t="str">
        <x:v>Cryptography, zero-knowledge mode and key management</x:v>
      </x:c>
      <x:c r="C162" s="10" t="str">
        <x:v>Key rotation and compromise response</x:v>
      </x:c>
      <x:c r="D162" s="10" t="str">
        <x:v>Rotate root/wrapping keys and re-encrypt or rewrap affected DEKs with documented impact and progress.</x:v>
      </x:c>
      <x:c r="E162" s="10" t="str">
        <x:v>Rotation alone cannot revoke keys already copied to a device; high-risk revocation may demand re-encryption.</x:v>
      </x:c>
      <x:c r="F162" s="10" t="str">
        <x:v>Simulated compromised key triggers controlled rewrap and produces a verification report.</x:v>
      </x:c>
      <x:c r="G162" s="10" t="str">
        <x:v>Must</x:v>
      </x:c>
      <x:c r="H162" s="10" t="str">
        <x:v>Core</x:v>
      </x:c>
      <x:c r="I162" s="10" t="str">
        <x:v>Not started</x:v>
      </x:c>
      <x:c r="J162" s="10" t="str"/>
      <x:c r="K162" s="10" t="str"/>
      <x:c r="L162" s="10" t="str"/>
    </x:row>
    <x:row r="163" ht="54" customHeight="1">
      <x:c r="A163" s="10" t="str">
        <x:v>ENC-11</x:v>
      </x:c>
      <x:c r="B163" s="10" t="str">
        <x:v>Cryptography, zero-knowledge mode and key management</x:v>
      </x:c>
      <x:c r="C163" s="10" t="str">
        <x:v>Zero-knowledge revocation semantics</x:v>
      </x:c>
      <x:c r="D163" s="10" t="str">
        <x:v>Revoke future retrieval and new key distribution, and optionally re-encrypt future and stored versions when confidentiality demands.</x:v>
      </x:c>
      <x:c r="E163" s="10" t="str">
        <x:v>Cannot erase previously downloaded plaintext or keys; UI and policy explicitly disclose the limitation.</x:v>
      </x:c>
      <x:c r="F163" s="10" t="str">
        <x:v>Removed member cannot open newly rekeyed versions with an old key.</x:v>
      </x:c>
      <x:c r="G163" s="10" t="str">
        <x:v>Must</x:v>
      </x:c>
      <x:c r="H163" s="10" t="str">
        <x:v>Core</x:v>
      </x:c>
      <x:c r="I163" s="10" t="str">
        <x:v>Not started</x:v>
      </x:c>
      <x:c r="J163" s="10" t="str"/>
      <x:c r="K163" s="10" t="str"/>
      <x:c r="L163" s="10" t="str"/>
    </x:row>
    <x:row r="164" ht="54" customHeight="1">
      <x:c r="A164" s="10" t="str">
        <x:v>ENC-12</x:v>
      </x:c>
      <x:c r="B164" s="10" t="str">
        <x:v>Cryptography, zero-knowledge mode and key management</x:v>
      </x:c>
      <x:c r="C164" s="10" t="str">
        <x:v>Key backup and trustee recovery</x:v>
      </x:c>
      <x:c r="D164" s="10" t="str">
        <x:v>Offer opt-in enterprise recovery using predesignated trustees and threshold/quorum procedures, plus a strict no-recovery option.</x:v>
      </x:c>
      <x:c r="E164" s="10" t="str">
        <x:v>Recovery is not 'zero-access to everyone' if escrow or trustee recovery exists; disclose that trade-off.</x:v>
      </x:c>
      <x:c r="F164" s="10" t="str">
        <x:v>Approved trustee quorum restores a lost user in test while minority of trustees cannot.</x:v>
      </x:c>
      <x:c r="G164" s="10" t="str">
        <x:v>Must</x:v>
      </x:c>
      <x:c r="H164" s="10" t="str">
        <x:v>Core</x:v>
      </x:c>
      <x:c r="I164" s="10" t="str">
        <x:v>Not started</x:v>
      </x:c>
      <x:c r="J164" s="10" t="str"/>
      <x:c r="K164" s="10" t="str"/>
      <x:c r="L164" s="10" t="str"/>
    </x:row>
    <x:row r="165" ht="54" customHeight="1">
      <x:c r="A165" s="10" t="str">
        <x:v>ENC-13</x:v>
      </x:c>
      <x:c r="B165" s="10" t="str">
        <x:v>Cryptography, zero-knowledge mode and key management</x:v>
      </x:c>
      <x:c r="C165" s="10" t="str">
        <x:v>Key lifecycle inventory</x:v>
      </x:c>
      <x:c r="D165" s="10" t="str">
        <x:v>Track key ownership, origin, algorithm, version, creation, expiry, use, rotation, recovery and destruction without exposing secrets.</x:v>
      </x:c>
      <x:c r="E165" s="10" t="str">
        <x:v>Key material never appears in logs, support bundles or routine databases.</x:v>
      </x:c>
      <x:c r="F165" s="10" t="str">
        <x:v>Auditor can trace key version used for a document without seeing private key bytes.</x:v>
      </x:c>
      <x:c r="G165" s="10" t="str">
        <x:v>Must</x:v>
      </x:c>
      <x:c r="H165" s="10" t="str">
        <x:v>Core</x:v>
      </x:c>
      <x:c r="I165" s="10" t="str">
        <x:v>Not started</x:v>
      </x:c>
      <x:c r="J165" s="10" t="str"/>
      <x:c r="K165" s="10" t="str"/>
      <x:c r="L165" s="10" t="str"/>
    </x:row>
    <x:row r="166" ht="54" customHeight="1">
      <x:c r="A166" s="10" t="str">
        <x:v>ENC-14</x:v>
      </x:c>
      <x:c r="B166" s="10" t="str">
        <x:v>Cryptography, zero-knowledge mode and key management</x:v>
      </x:c>
      <x:c r="C166" s="10" t="str">
        <x:v>Metadata and filename encryption</x:v>
      </x:c>
      <x:c r="D166" s="10" t="str">
        <x:v>Protect sensitive names, descriptions, custom fields, comments, OCR outputs, search queries and derived previews with classified encryption.</x:v>
      </x:c>
      <x:c r="E166" s="10" t="str">
        <x:v>Cleartext indexes contain only fields approved as leakage-safe, with explicit privacy review.</x:v>
      </x:c>
      <x:c r="F166" s="10" t="str">
        <x:v>Database export does not reveal protected document title or other marked metadata.</x:v>
      </x:c>
      <x:c r="G166" s="10" t="str">
        <x:v>Must</x:v>
      </x:c>
      <x:c r="H166" s="10" t="str">
        <x:v>Core</x:v>
      </x:c>
      <x:c r="I166" s="10" t="str">
        <x:v>Not started</x:v>
      </x:c>
      <x:c r="J166" s="10" t="str"/>
      <x:c r="K166" s="10" t="str"/>
      <x:c r="L166" s="10" t="str"/>
    </x:row>
    <x:row r="167" ht="54" customHeight="1">
      <x:c r="A167" s="10" t="str">
        <x:v>ENC-15</x:v>
      </x:c>
      <x:c r="B167" s="10" t="str">
        <x:v>Cryptography, zero-knowledge mode and key management</x:v>
      </x:c>
      <x:c r="C167" s="10" t="str">
        <x:v>Encrypted audit confidentiality</x:v>
      </x:c>
      <x:c r="D167" s="10" t="str">
        <x:v>Protect sensitive audit payloads while preserving independent integrity, traceability and authorized detection.</x:v>
      </x:c>
      <x:c r="E167" s="10" t="str">
        <x:v>Auditors have scoped decryption access separate from document access; SIEM exports minimize PII.</x:v>
      </x:c>
      <x:c r="F167" s="10" t="str">
        <x:v>A leaked log repository cannot reveal protected document plaintext or secrets.</x:v>
      </x:c>
      <x:c r="G167" s="10" t="str">
        <x:v>Should</x:v>
      </x:c>
      <x:c r="H167" s="10" t="str">
        <x:v>Enterprise</x:v>
      </x:c>
      <x:c r="I167" s="10" t="str">
        <x:v>Not started</x:v>
      </x:c>
      <x:c r="J167" s="10" t="str"/>
      <x:c r="K167" s="10" t="str"/>
      <x:c r="L167" s="10" t="str"/>
    </x:row>
    <x:row r="168" ht="54" customHeight="1">
      <x:c r="A168" s="10" t="str">
        <x:v>ENC-16</x:v>
      </x:c>
      <x:c r="B168" s="10" t="str">
        <x:v>Cryptography, zero-knowledge mode and key management</x:v>
      </x:c>
      <x:c r="C168" s="10" t="str">
        <x:v>Encryption migration and agility</x:v>
      </x:c>
      <x:c r="D168" s="10" t="str">
        <x:v>Record crypto suite version and support rolling algorithm upgrades and decrypt/re-encrypt migration jobs.</x:v>
      </x:c>
      <x:c r="E168" s="10" t="str">
        <x:v>Never invent custom cryptographic algorithms; use reviewed libraries and migration tests.</x:v>
      </x:c>
      <x:c r="F168" s="10" t="str">
        <x:v>Legacy suite test data is upgraded without losing integrity or version chain.</x:v>
      </x:c>
      <x:c r="G168" s="10" t="str">
        <x:v>Should</x:v>
      </x:c>
      <x:c r="H168" s="10" t="str">
        <x:v>Enterprise</x:v>
      </x:c>
      <x:c r="I168" s="10" t="str">
        <x:v>Not started</x:v>
      </x:c>
      <x:c r="J168" s="10" t="str"/>
      <x:c r="K168" s="10" t="str"/>
      <x:c r="L168" s="10" t="str"/>
    </x:row>
    <x:row r="169" ht="54" customHeight="1">
      <x:c r="A169" s="10" t="str">
        <x:v>ENC-17</x:v>
      </x:c>
      <x:c r="B169" s="10" t="str">
        <x:v>Cryptography, zero-knowledge mode and key management</x:v>
      </x:c>
      <x:c r="C169" s="10" t="str">
        <x:v>Secure temporary data handling</x:v>
      </x:c>
      <x:c r="D169" s="10" t="str">
        <x:v>Define memory lifetime, temp file controls, no server plaintext dumps for zero-knowledge and strict worker isolation.</x:v>
      </x:c>
      <x:c r="E169" s="10" t="str">
        <x:v>Managed processing deletes ephemeral plaintext on job completion and prevents debug logging of secrets.</x:v>
      </x:c>
      <x:c r="F169" s="10" t="str">
        <x:v>Crash tests find no persistent unencrypted extracted files in forbidden locations.</x:v>
      </x:c>
      <x:c r="G169" s="10" t="str">
        <x:v>Must</x:v>
      </x:c>
      <x:c r="H169" s="10" t="str">
        <x:v>Core</x:v>
      </x:c>
      <x:c r="I169" s="10" t="str">
        <x:v>Not started</x:v>
      </x:c>
      <x:c r="J169" s="10" t="str"/>
      <x:c r="K169" s="10" t="str"/>
      <x:c r="L169" s="10" t="str"/>
    </x:row>
    <x:row r="170" ht="54" customHeight="1">
      <x:c r="A170" s="10" t="str">
        <x:v>ENC-18</x:v>
      </x:c>
      <x:c r="B170" s="10" t="str">
        <x:v>Cryptography, zero-knowledge mode and key management</x:v>
      </x:c>
      <x:c r="C170" s="10" t="str">
        <x:v>Cryptographic deletion policy</x:v>
      </x:c>
      <x:c r="D170" s="10" t="str">
        <x:v>Destroy eligible wrapping keys or data keys after verifying that holds, backup policy and other copies permit erasure.</x:v>
      </x:c>
      <x:c r="E170" s="10" t="str">
        <x:v>Crypto-erasure claims reflect residual copies, exported files and recovery keys.</x:v>
      </x:c>
      <x:c r="F170" s="10" t="str">
        <x:v>Disposition report documents key destruction evidence and known remaining exceptions.</x:v>
      </x:c>
      <x:c r="G170" s="10" t="str">
        <x:v>Should</x:v>
      </x:c>
      <x:c r="H170" s="10" t="str">
        <x:v>Enterprise</x:v>
      </x:c>
      <x:c r="I170" s="10" t="str">
        <x:v>Not started</x:v>
      </x:c>
      <x:c r="J170" s="10" t="str"/>
      <x:c r="K170" s="10" t="str"/>
      <x:c r="L170" s="10" t="str"/>
    </x:row>
    <x:row r="171" ht="54" customHeight="1">
      <x:c r="A171" s="10" t="str">
        <x:v>ENC-19</x:v>
      </x:c>
      <x:c r="B171" s="10" t="str">
        <x:v>Cryptography, zero-knowledge mode and key management</x:v>
      </x:c>
      <x:c r="C171" s="10" t="str">
        <x:v>Independent crypto review and test vectors</x:v>
      </x:c>
      <x:c r="D171" s="10" t="str">
        <x:v>Require third-party cryptographic protocol review, interoperability vectors, cross-client validation and release-blocking security tests.</x:v>
      </x:c>
      <x:c r="E171" s="10" t="str">
        <x:v>A successful feature demo is not evidence of cryptographic safety.</x:v>
      </x:c>
      <x:c r="F171" s="10" t="str">
        <x:v>Independent reviewers can reproduce encryption, rewrap, recovery and tamper test vectors.</x:v>
      </x:c>
      <x:c r="G171" s="10" t="str">
        <x:v>Must</x:v>
      </x:c>
      <x:c r="H171" s="10" t="str">
        <x:v>Core</x:v>
      </x:c>
      <x:c r="I171" s="10" t="str">
        <x:v>Not started</x:v>
      </x:c>
      <x:c r="J171" s="10" t="str"/>
      <x:c r="K171" s="10" t="str"/>
      <x:c r="L171" s="10" t="str"/>
    </x:row>
    <x:row r="172" ht="54" customHeight="1">
      <x:c r="A172" s="10" t="str">
        <x:v>ENC-20</x:v>
      </x:c>
      <x:c r="B172" s="10" t="str">
        <x:v>Cryptography, zero-knowledge mode and key management</x:v>
      </x:c>
      <x:c r="C172" s="10" t="str">
        <x:v>Key availability and outage behavior</x:v>
      </x:c>
      <x:c r="D172" s="10" t="str">
        <x:v>Define how offline clients, unavailable HSMs and key-service partitions affect read/write operations per mode.</x:v>
      </x:c>
      <x:c r="E172" s="10" t="str">
        <x:v>Never fail open or silently cache root keys in WordPress to survive outages.</x:v>
      </x:c>
      <x:c r="F172" s="10" t="str">
        <x:v>Key-service outage blocks protected operations while preserving data integrity and clear status.</x:v>
      </x:c>
      <x:c r="G172" s="10" t="str">
        <x:v>Must</x:v>
      </x:c>
      <x:c r="H172" s="10" t="str">
        <x:v>Core</x:v>
      </x:c>
      <x:c r="I172" s="10" t="str">
        <x:v>Not started</x:v>
      </x:c>
      <x:c r="J172" s="10" t="str"/>
      <x:c r="K172" s="10" t="str"/>
      <x:c r="L172" s="10" t="str"/>
    </x:row>
    <x:row r="173" ht="54" customHeight="1">
      <x:c r="A173" s="10" t="str">
        <x:v>SEC-01</x:v>
      </x:c>
      <x:c r="B173" s="10" t="str">
        <x:v>Security operations, DLP and active threat defense</x:v>
      </x:c>
      <x:c r="C173" s="10" t="str">
        <x:v>Data classification model</x:v>
      </x:c>
      <x:c r="D173" s="10" t="str">
        <x:v>Configure Public, Internal, Confidential, Restricted and customizable sensitivity levels, categories and automatic labels.</x:v>
      </x:c>
      <x:c r="E173" s="10" t="str">
        <x:v>More restrictive labels dominate inherited permissions and govern processing choices.</x:v>
      </x:c>
      <x:c r="F173" s="10" t="str">
        <x:v>Reclassifying to Restricted revokes prohibited sharing and exports promptly.</x:v>
      </x:c>
      <x:c r="G173" s="10" t="str">
        <x:v>Must</x:v>
      </x:c>
      <x:c r="H173" s="10" t="str">
        <x:v>Core</x:v>
      </x:c>
      <x:c r="I173" s="10" t="str">
        <x:v>Not started</x:v>
      </x:c>
      <x:c r="J173" s="10" t="str"/>
      <x:c r="K173" s="10" t="str"/>
      <x:c r="L173" s="10" t="str"/>
    </x:row>
    <x:row r="174" ht="54" customHeight="1">
      <x:c r="A174" s="10" t="str">
        <x:v>SEC-02</x:v>
      </x:c>
      <x:c r="B174" s="10" t="str">
        <x:v>Security operations, DLP and active threat defense</x:v>
      </x:c>
      <x:c r="C174" s="10" t="str">
        <x:v>Data loss prevention rules</x:v>
      </x:c>
      <x:c r="D174" s="10" t="str">
        <x:v>Detect approved sensitive patterns in managed-mode content, filenames, metadata and outbound actions.</x:v>
      </x:c>
      <x:c r="E174" s="10" t="str">
        <x:v>No service plaintext inspection of zero-knowledge content; trusted client scanning is explicit and limited.</x:v>
      </x:c>
      <x:c r="F174" s="10" t="str">
        <x:v>Export of classified sample matching rule is blocked with policy reason.</x:v>
      </x:c>
      <x:c r="G174" s="10" t="str">
        <x:v>Should</x:v>
      </x:c>
      <x:c r="H174" s="10" t="str">
        <x:v>Enterprise</x:v>
      </x:c>
      <x:c r="I174" s="10" t="str">
        <x:v>Not started</x:v>
      </x:c>
      <x:c r="J174" s="10" t="str"/>
      <x:c r="K174" s="10" t="str"/>
      <x:c r="L174" s="10" t="str"/>
    </x:row>
    <x:row r="175" ht="54" customHeight="1">
      <x:c r="A175" s="10" t="str">
        <x:v>SEC-03</x:v>
      </x:c>
      <x:c r="B175" s="10" t="str">
        <x:v>Security operations, DLP and active threat defense</x:v>
      </x:c>
      <x:c r="C175" s="10" t="str">
        <x:v>Download, print and clipboard rules</x:v>
      </x:c>
      <x:c r="D175" s="10" t="str">
        <x:v>Constrain download, printing, copy/paste and screenshots where supported by trusted clients.</x:v>
      </x:c>
      <x:c r="E175" s="10" t="str">
        <x:v>Browser screenshot prevention is not guaranteed; claims clearly state deterrence limits.</x:v>
      </x:c>
      <x:c r="F175" s="10" t="str">
        <x:v>Restricted-mode policy denies available download and print commands across API/client.</x:v>
      </x:c>
      <x:c r="G175" s="10" t="str">
        <x:v>Should</x:v>
      </x:c>
      <x:c r="H175" s="10" t="str">
        <x:v>Enterprise</x:v>
      </x:c>
      <x:c r="I175" s="10" t="str">
        <x:v>Not started</x:v>
      </x:c>
      <x:c r="J175" s="10" t="str"/>
      <x:c r="K175" s="10" t="str"/>
      <x:c r="L175" s="10" t="str"/>
    </x:row>
    <x:row r="176" ht="54" customHeight="1">
      <x:c r="A176" s="10" t="str">
        <x:v>SEC-04</x:v>
      </x:c>
      <x:c r="B176" s="10" t="str">
        <x:v>Security operations, DLP and active threat defense</x:v>
      </x:c>
      <x:c r="C176" s="10" t="str">
        <x:v>Malware scanning and quarantine</x:v>
      </x:c>
      <x:c r="D176" s="10" t="str">
        <x:v>Scan managed-mode uploads before release using isolated scanners; for zero-knowledge use client-side scanning and risk-restricted ingestion policy.</x:v>
      </x:c>
      <x:c r="E176" s="10" t="str">
        <x:v>Servers cannot reliably scan opaque ciphertext; avoid claiming equivalent scanning assurance.</x:v>
      </x:c>
      <x:c r="F176" s="10" t="str">
        <x:v>Detected test malware is quarantined and never published into accessible repository.</x:v>
      </x:c>
      <x:c r="G176" s="10" t="str">
        <x:v>Must</x:v>
      </x:c>
      <x:c r="H176" s="10" t="str">
        <x:v>Core</x:v>
      </x:c>
      <x:c r="I176" s="10" t="str">
        <x:v>Not started</x:v>
      </x:c>
      <x:c r="J176" s="10" t="str"/>
      <x:c r="K176" s="10" t="str"/>
      <x:c r="L176" s="10" t="str"/>
    </x:row>
    <x:row r="177" ht="54" customHeight="1">
      <x:c r="A177" s="10" t="str">
        <x:v>SEC-05</x:v>
      </x:c>
      <x:c r="B177" s="10" t="str">
        <x:v>Security operations, DLP and active threat defense</x:v>
      </x:c>
      <x:c r="C177" s="10" t="str">
        <x:v>Secure content conversion isolation</x:v>
      </x:c>
      <x:c r="D177" s="10" t="str">
        <x:v>Use sandboxed, patched, ephemeral converters with no internet egress to preview Office and PDF formats.</x:v>
      </x:c>
      <x:c r="E177" s="10" t="str">
        <x:v>File parsing is high-risk and never runs inside WordPress PHP process.</x:v>
      </x:c>
      <x:c r="F177" s="10" t="str">
        <x:v>Malicious parser test does not reach storage, keys or production network.</x:v>
      </x:c>
      <x:c r="G177" s="10" t="str">
        <x:v>Must</x:v>
      </x:c>
      <x:c r="H177" s="10" t="str">
        <x:v>Core</x:v>
      </x:c>
      <x:c r="I177" s="10" t="str">
        <x:v>Not started</x:v>
      </x:c>
      <x:c r="J177" s="10" t="str"/>
      <x:c r="K177" s="10" t="str"/>
      <x:c r="L177" s="10" t="str"/>
    </x:row>
    <x:row r="178" ht="54" customHeight="1">
      <x:c r="A178" s="10" t="str">
        <x:v>SEC-06</x:v>
      </x:c>
      <x:c r="B178" s="10" t="str">
        <x:v>Security operations, DLP and active threat defense</x:v>
      </x:c>
      <x:c r="C178" s="10" t="str">
        <x:v>Anomaly and insider-risk detection</x:v>
      </x:c>
      <x:c r="D178" s="10" t="str">
        <x:v>Alert on abnormal mass downloads, suspicious access patterns, permission spikes and credential misuse.</x:v>
      </x:c>
      <x:c r="E178" s="10" t="str">
        <x:v>Alerts minimize false accusations and give reviewers evidence and appeal process.</x:v>
      </x:c>
      <x:c r="F178" s="10" t="str">
        <x:v>Simulated mass export triggers scoped alert and optional containment.</x:v>
      </x:c>
      <x:c r="G178" s="10" t="str">
        <x:v>Should</x:v>
      </x:c>
      <x:c r="H178" s="10" t="str">
        <x:v>Enterprise</x:v>
      </x:c>
      <x:c r="I178" s="10" t="str">
        <x:v>Not started</x:v>
      </x:c>
      <x:c r="J178" s="10" t="str"/>
      <x:c r="K178" s="10" t="str"/>
      <x:c r="L178" s="10" t="str"/>
    </x:row>
    <x:row r="179" ht="54" customHeight="1">
      <x:c r="A179" s="10" t="str">
        <x:v>SEC-07</x:v>
      </x:c>
      <x:c r="B179" s="10" t="str">
        <x:v>Security operations, DLP and active threat defense</x:v>
      </x:c>
      <x:c r="C179" s="10" t="str">
        <x:v>Ransomware detection and rollback</x:v>
      </x:c>
      <x:c r="D179" s="10" t="str">
        <x:v>Identify unusually high content churn, suspicious mass deletion and encryption-like rewrite patterns.</x:v>
      </x:c>
      <x:c r="E179" s="10" t="str">
        <x:v>Immutable versions and protected backups are outside compromised service write authority.</x:v>
      </x:c>
      <x:c r="F179" s="10" t="str">
        <x:v>Mass corruption can be rolled back using clean version history after containment.</x:v>
      </x:c>
      <x:c r="G179" s="10" t="str">
        <x:v>Should</x:v>
      </x:c>
      <x:c r="H179" s="10" t="str">
        <x:v>Enterprise</x:v>
      </x:c>
      <x:c r="I179" s="10" t="str">
        <x:v>Not started</x:v>
      </x:c>
      <x:c r="J179" s="10" t="str"/>
      <x:c r="K179" s="10" t="str"/>
      <x:c r="L179" s="10" t="str"/>
    </x:row>
    <x:row r="180" ht="54" customHeight="1">
      <x:c r="A180" s="10" t="str">
        <x:v>SEC-08</x:v>
      </x:c>
      <x:c r="B180" s="10" t="str">
        <x:v>Security operations, DLP and active threat defense</x:v>
      </x:c>
      <x:c r="C180" s="10" t="str">
        <x:v>External sharing restrictions</x:v>
      </x:c>
      <x:c r="D180" s="10" t="str">
        <x:v>Govern permitted domains, classifications, link lifetimes, guest download and approved recipients.</x:v>
      </x:c>
      <x:c r="E180" s="10" t="str">
        <x:v>No anonymous external links for high-security or zero-knowledge content by default.</x:v>
      </x:c>
      <x:c r="F180" s="10" t="str">
        <x:v>Attempt to externally share Restricted file without approval fails.</x:v>
      </x:c>
      <x:c r="G180" s="10" t="str">
        <x:v>Must</x:v>
      </x:c>
      <x:c r="H180" s="10" t="str">
        <x:v>Core</x:v>
      </x:c>
      <x:c r="I180" s="10" t="str">
        <x:v>Not started</x:v>
      </x:c>
      <x:c r="J180" s="10" t="str"/>
      <x:c r="K180" s="10" t="str"/>
      <x:c r="L180" s="10" t="str"/>
    </x:row>
    <x:row r="181" ht="54" customHeight="1">
      <x:c r="A181" s="10" t="str">
        <x:v>SEC-09</x:v>
      </x:c>
      <x:c r="B181" s="10" t="str">
        <x:v>Security operations, DLP and active threat defense</x:v>
      </x:c>
      <x:c r="C181" s="10" t="str">
        <x:v>Policy-aware watermark and labels</x:v>
      </x:c>
      <x:c r="D181" s="10" t="str">
        <x:v>Apply visual classification banners and authorized identity watermarks in previews, printouts and selected exports.</x:v>
      </x:c>
      <x:c r="E181" s="10" t="str">
        <x:v>Watermarks are not presented as prevention against photography or screen capture.</x:v>
      </x:c>
      <x:c r="F181" s="10" t="str">
        <x:v>Watermark reflects correct user/time/classification for approved export.</x:v>
      </x:c>
      <x:c r="G181" s="10" t="str">
        <x:v>Should</x:v>
      </x:c>
      <x:c r="H181" s="10" t="str">
        <x:v>Enterprise</x:v>
      </x:c>
      <x:c r="I181" s="10" t="str">
        <x:v>Not started</x:v>
      </x:c>
      <x:c r="J181" s="10" t="str"/>
      <x:c r="K181" s="10" t="str"/>
      <x:c r="L181" s="10" t="str"/>
    </x:row>
    <x:row r="182" ht="54" customHeight="1">
      <x:c r="A182" s="10" t="str">
        <x:v>SEC-10</x:v>
      </x:c>
      <x:c r="B182" s="10" t="str">
        <x:v>Security operations, DLP and active threat defense</x:v>
      </x:c>
      <x:c r="C182" s="10" t="str">
        <x:v>Network and IP policy</x:v>
      </x:c>
      <x:c r="D182" s="10" t="str">
        <x:v>Restrict sensitive operations by approved networks, device signals and dynamic IP reputation.</x:v>
      </x:c>
      <x:c r="E182" s="10" t="str">
        <x:v>Network restriction augments but never replaces cryptographic identity and authorization.</x:v>
      </x:c>
      <x:c r="F182" s="10" t="str">
        <x:v>Admin portal access from blocked network is denied and logged.</x:v>
      </x:c>
      <x:c r="G182" s="10" t="str">
        <x:v>Should</x:v>
      </x:c>
      <x:c r="H182" s="10" t="str">
        <x:v>Enterprise</x:v>
      </x:c>
      <x:c r="I182" s="10" t="str">
        <x:v>Not started</x:v>
      </x:c>
      <x:c r="J182" s="10" t="str"/>
      <x:c r="K182" s="10" t="str"/>
      <x:c r="L182" s="10" t="str"/>
    </x:row>
    <x:row r="183" ht="54" customHeight="1">
      <x:c r="A183" s="10" t="str">
        <x:v>SEC-11</x:v>
      </x:c>
      <x:c r="B183" s="10" t="str">
        <x:v>Security operations, DLP and active threat defense</x:v>
      </x:c>
      <x:c r="C183" s="10" t="str">
        <x:v>Content security and input hardening</x:v>
      </x:c>
      <x:c r="D183" s="10" t="str">
        <x:v>Enforce upload quotas, content sanitization, output escaping, CSRF defenses, CSP, SSRF prevention and safe parsers.</x:v>
      </x:c>
      <x:c r="E183" s="10" t="str">
        <x:v>Test every admin, user, mobile and integration interface against injection and broken authorization.</x:v>
      </x:c>
      <x:c r="F183" s="10" t="str">
        <x:v>Automated vulnerability tests pass release security gate.</x:v>
      </x:c>
      <x:c r="G183" s="10" t="str">
        <x:v>Must</x:v>
      </x:c>
      <x:c r="H183" s="10" t="str">
        <x:v>Core</x:v>
      </x:c>
      <x:c r="I183" s="10" t="str">
        <x:v>Not started</x:v>
      </x:c>
      <x:c r="J183" s="10" t="str"/>
      <x:c r="K183" s="10" t="str"/>
      <x:c r="L183" s="10" t="str"/>
    </x:row>
    <x:row r="184" ht="54" customHeight="1">
      <x:c r="A184" s="10" t="str">
        <x:v>SEC-12</x:v>
      </x:c>
      <x:c r="B184" s="10" t="str">
        <x:v>Security operations, DLP and active threat defense</x:v>
      </x:c>
      <x:c r="C184" s="10" t="str">
        <x:v>Supply-chain integrity</x:v>
      </x:c>
      <x:c r="D184" s="10" t="str">
        <x:v>Generate SBOM, pin reviewed dependencies, sign releases, verify packages and rapidly patch vulnerabilities.</x:v>
      </x:c>
      <x:c r="E184" s="10" t="str">
        <x:v>Compromised third-party WordPress plugins cannot be treated as trustworthy KMS components.</x:v>
      </x:c>
      <x:c r="F184" s="10" t="str">
        <x:v>Release signature and dependency provenance are verifiable in deployment pipeline.</x:v>
      </x:c>
      <x:c r="G184" s="10" t="str">
        <x:v>Must</x:v>
      </x:c>
      <x:c r="H184" s="10" t="str">
        <x:v>Core</x:v>
      </x:c>
      <x:c r="I184" s="10" t="str">
        <x:v>Not started</x:v>
      </x:c>
      <x:c r="J184" s="10" t="str"/>
      <x:c r="K184" s="10" t="str"/>
      <x:c r="L184" s="10" t="str"/>
    </x:row>
    <x:row r="185" ht="54" customHeight="1">
      <x:c r="A185" s="10" t="str">
        <x:v>SEC-13</x:v>
      </x:c>
      <x:c r="B185" s="10" t="str">
        <x:v>Security operations, DLP and active threat defense</x:v>
      </x:c>
      <x:c r="C185" s="10" t="str">
        <x:v>Security alert operations</x:v>
      </x:c>
      <x:c r="D185" s="10" t="str">
        <x:v>Route prioritized events to security teams, support playbooks, acknowledgments and incident cases with breach clocks.</x:v>
      </x:c>
      <x:c r="E185" s="10" t="str">
        <x:v>Events are protected against deletion by local WordPress administrators.</x:v>
      </x:c>
      <x:c r="F185" s="10" t="str">
        <x:v>Detection-to-triage trail can be reconstructed from independent evidence.</x:v>
      </x:c>
      <x:c r="G185" s="10" t="str">
        <x:v>Must</x:v>
      </x:c>
      <x:c r="H185" s="10" t="str">
        <x:v>Core</x:v>
      </x:c>
      <x:c r="I185" s="10" t="str">
        <x:v>Not started</x:v>
      </x:c>
      <x:c r="J185" s="10" t="str"/>
      <x:c r="K185" s="10" t="str"/>
      <x:c r="L185" s="10" t="str"/>
    </x:row>
    <x:row r="186" ht="54" customHeight="1">
      <x:c r="A186" s="10" t="str">
        <x:v>SEC-14</x:v>
      </x:c>
      <x:c r="B186" s="10" t="str">
        <x:v>Security operations, DLP and active threat defense</x:v>
      </x:c>
      <x:c r="C186" s="10" t="str">
        <x:v>Tenant security posture dashboard</x:v>
      </x:c>
      <x:c r="D186" s="10" t="str">
        <x:v>Show MFA compliance, privileged membership, guest exposure, encryption mode, overdue reviews and policy exceptions.</x:v>
      </x:c>
      <x:c r="E186" s="10" t="str">
        <x:v>Subsidiary managers see own data; holding sees permitted aggregate posture.</x:v>
      </x:c>
      <x:c r="F186" s="10" t="str">
        <x:v>Audit dashboard highlights noncompliant tenant without exposing protected documents.</x:v>
      </x:c>
      <x:c r="G186" s="10" t="str">
        <x:v>Should</x:v>
      </x:c>
      <x:c r="H186" s="10" t="str">
        <x:v>Enterprise</x:v>
      </x:c>
      <x:c r="I186" s="10" t="str">
        <x:v>Not started</x:v>
      </x:c>
      <x:c r="J186" s="10" t="str"/>
      <x:c r="K186" s="10" t="str"/>
      <x:c r="L186" s="10" t="str"/>
    </x:row>
    <x:row r="187" ht="54" customHeight="1">
      <x:c r="A187" s="10" t="str">
        <x:v>SEC-15</x:v>
      </x:c>
      <x:c r="B187" s="10" t="str">
        <x:v>Security operations, DLP and active threat defense</x:v>
      </x:c>
      <x:c r="C187" s="10" t="str">
        <x:v>Abuse-resistant search and APIs</x:v>
      </x:c>
      <x:c r="D187" s="10" t="str">
        <x:v>Rate-limit list, metadata, existence, autocomplete and search endpoints; apply stable-denial responses for hidden objects.</x:v>
      </x:c>
      <x:c r="E187" s="10" t="str">
        <x:v>No metadata or timing oracle should trivially reveal confidential files.</x:v>
      </x:c>
      <x:c r="F187" s="10" t="str">
        <x:v>Enumeration tests fail to distinguish undisclosed document IDs within defined bounds.</x:v>
      </x:c>
      <x:c r="G187" s="10" t="str">
        <x:v>Must</x:v>
      </x:c>
      <x:c r="H187" s="10" t="str">
        <x:v>Core</x:v>
      </x:c>
      <x:c r="I187" s="10" t="str">
        <x:v>Not started</x:v>
      </x:c>
      <x:c r="J187" s="10" t="str"/>
      <x:c r="K187" s="10" t="str"/>
      <x:c r="L187" s="10" t="str"/>
    </x:row>
    <x:row r="188" ht="54" customHeight="1">
      <x:c r="A188" s="10" t="str">
        <x:v>SEC-16</x:v>
      </x:c>
      <x:c r="B188" s="10" t="str">
        <x:v>Security operations, DLP and active threat defense</x:v>
      </x:c>
      <x:c r="C188" s="10" t="str">
        <x:v>Vulnerability disclosure and response</x:v>
      </x:c>
      <x:c r="D188" s="10" t="str">
        <x:v>Publish security contact, responsible disclosure path, coordinated advisories and supported version policy.</x:v>
      </x:c>
      <x:c r="E188" s="10" t="str">
        <x:v>No production secrets or customer documents are needed for disclosure intake.</x:v>
      </x:c>
      <x:c r="F188" s="10" t="str">
        <x:v>Security issue follows tracked triage, remediation, customer advisory and regression test.</x:v>
      </x:c>
      <x:c r="G188" s="10" t="str">
        <x:v>Must</x:v>
      </x:c>
      <x:c r="H188" s="10" t="str">
        <x:v>Core</x:v>
      </x:c>
      <x:c r="I188" s="10" t="str">
        <x:v>Not started</x:v>
      </x:c>
      <x:c r="J188" s="10" t="str"/>
      <x:c r="K188" s="10" t="str"/>
      <x:c r="L188" s="10" t="str"/>
    </x:row>
    <x:row r="189" ht="54" customHeight="1">
      <x:c r="A189" s="10" t="str">
        <x:v>EXT-01</x:v>
      </x:c>
      <x:c r="B189" s="10" t="str">
        <x:v>External collaboration and secure information exchange</x:v>
      </x:c>
      <x:c r="C189" s="10" t="str">
        <x:v>Invitation-based guest access</x:v>
      </x:c>
      <x:c r="D189" s="10" t="str">
        <x:v>Invite named external participants to documents or workspaces with verified email or federated identity.</x:v>
      </x:c>
      <x:c r="E189" s="10" t="str">
        <x:v>Guests never receive automatic tenant-wide listing or browsing.</x:v>
      </x:c>
      <x:c r="F189" s="10" t="str">
        <x:v>New guest can access only the specifically invited material.</x:v>
      </x:c>
      <x:c r="G189" s="10" t="str">
        <x:v>Must</x:v>
      </x:c>
      <x:c r="H189" s="10" t="str">
        <x:v>Core</x:v>
      </x:c>
      <x:c r="I189" s="10" t="str">
        <x:v>Not started</x:v>
      </x:c>
      <x:c r="J189" s="10" t="str"/>
      <x:c r="K189" s="10" t="str"/>
      <x:c r="L189" s="10" t="str"/>
    </x:row>
    <x:row r="190" ht="54" customHeight="1">
      <x:c r="A190" s="10" t="str">
        <x:v>EXT-02</x:v>
      </x:c>
      <x:c r="B190" s="10" t="str">
        <x:v>External collaboration and secure information exchange</x:v>
      </x:c>
      <x:c r="C190" s="10" t="str">
        <x:v>Expiring share links</x:v>
      </x:c>
      <x:c r="D190" s="10" t="str">
        <x:v>Issue opaque, bound and short-lived links with optional one-time use, download restrictions and independent recipient authentication.</x:v>
      </x:c>
      <x:c r="E190" s="10" t="str">
        <x:v>Link possession alone is not sufficient for sensitive content; tokens cannot bypass permission checks.</x:v>
      </x:c>
      <x:c r="F190" s="10" t="str">
        <x:v>Expired, revoked and reused one-time link are denied.</x:v>
      </x:c>
      <x:c r="G190" s="10" t="str">
        <x:v>Should</x:v>
      </x:c>
      <x:c r="H190" s="10" t="str">
        <x:v>Enterprise</x:v>
      </x:c>
      <x:c r="I190" s="10" t="str">
        <x:v>Not started</x:v>
      </x:c>
      <x:c r="J190" s="10" t="str"/>
      <x:c r="K190" s="10" t="str"/>
      <x:c r="L190" s="10" t="str"/>
    </x:row>
    <x:row r="191" ht="54" customHeight="1">
      <x:c r="A191" s="10" t="str">
        <x:v>EXT-03</x:v>
      </x:c>
      <x:c r="B191" s="10" t="str">
        <x:v>External collaboration and secure information exchange</x:v>
      </x:c>
      <x:c r="C191" s="10" t="str">
        <x:v>External data rooms</x:v>
      </x:c>
      <x:c r="D191" s="10" t="str">
        <x:v>Create segregated virtual due-diligence rooms with staged disclosure, access audit, Q&amp;A and watermarked document previews.</x:v>
      </x:c>
      <x:c r="E191" s="10" t="str">
        <x:v>Data room members are scoped individually and classified content may require zero-knowledge client.</x:v>
      </x:c>
      <x:c r="F191" s="10" t="str">
        <x:v>Two bidders see distinct curated document sets and never each other's questions.</x:v>
      </x:c>
      <x:c r="G191" s="10" t="str">
        <x:v>Should</x:v>
      </x:c>
      <x:c r="H191" s="10" t="str">
        <x:v>Enterprise</x:v>
      </x:c>
      <x:c r="I191" s="10" t="str">
        <x:v>Not started</x:v>
      </x:c>
      <x:c r="J191" s="10" t="str"/>
      <x:c r="K191" s="10" t="str"/>
      <x:c r="L191" s="10" t="str"/>
    </x:row>
    <x:row r="192" ht="54" customHeight="1">
      <x:c r="A192" s="10" t="str">
        <x:v>EXT-04</x:v>
      </x:c>
      <x:c r="B192" s="10" t="str">
        <x:v>External collaboration and secure information exchange</x:v>
      </x:c>
      <x:c r="C192" s="10" t="str">
        <x:v>Recipient-side encryption</x:v>
      </x:c>
      <x:c r="D192" s="10" t="str">
        <x:v>When sharing zero-knowledge documents, wrap keys for verified recipient device identities without routing plaintext through WP.</x:v>
      </x:c>
      <x:c r="E192" s="10" t="str">
        <x:v>New recipient verification prevents a compromised server from silently swapping keys.</x:v>
      </x:c>
      <x:c r="F192" s="10" t="str">
        <x:v>Guest decrypts only explicitly shared version after trustworthy identity check.</x:v>
      </x:c>
      <x:c r="G192" s="10" t="str">
        <x:v>Must</x:v>
      </x:c>
      <x:c r="H192" s="10" t="str">
        <x:v>Core</x:v>
      </x:c>
      <x:c r="I192" s="10" t="str">
        <x:v>Not started</x:v>
      </x:c>
      <x:c r="J192" s="10" t="str"/>
      <x:c r="K192" s="10" t="str"/>
      <x:c r="L192" s="10" t="str"/>
    </x:row>
    <x:row r="193" ht="54" customHeight="1">
      <x:c r="A193" s="10" t="str">
        <x:v>EXT-05</x:v>
      </x:c>
      <x:c r="B193" s="10" t="str">
        <x:v>External collaboration and secure information exchange</x:v>
      </x:c>
      <x:c r="C193" s="10" t="str">
        <x:v>File requests and inbound portals</x:v>
      </x:c>
      <x:c r="D193" s="10" t="str">
        <x:v>Provide approved upload-only dropboxes for outside partners, vendors, auditors and customers.</x:v>
      </x:c>
      <x:c r="E193" s="10" t="str">
        <x:v>Incoming files are quarantined, owner-routed and invisible to other senders.</x:v>
      </x:c>
      <x:c r="F193" s="10" t="str">
        <x:v>External party uploads but cannot list previously submitted files.</x:v>
      </x:c>
      <x:c r="G193" s="10" t="str">
        <x:v>Should</x:v>
      </x:c>
      <x:c r="H193" s="10" t="str">
        <x:v>Enterprise</x:v>
      </x:c>
      <x:c r="I193" s="10" t="str">
        <x:v>Not started</x:v>
      </x:c>
      <x:c r="J193" s="10" t="str"/>
      <x:c r="K193" s="10" t="str"/>
      <x:c r="L193" s="10" t="str"/>
    </x:row>
    <x:row r="194" ht="54" customHeight="1">
      <x:c r="A194" s="10" t="str">
        <x:v>EXT-06</x:v>
      </x:c>
      <x:c r="B194" s="10" t="str">
        <x:v>External collaboration and secure information exchange</x:v>
      </x:c>
      <x:c r="C194" s="10" t="str">
        <x:v>External collaboration expiration</x:v>
      </x:c>
      <x:c r="D194" s="10" t="str">
        <x:v>Configure guest membership termination, reminder and ownership-based renewals at project or transaction close.</x:v>
      </x:c>
      <x:c r="E194" s="10" t="str">
        <x:v>Expiry revokes future access but not copies already downloaded.</x:v>
      </x:c>
      <x:c r="F194" s="10" t="str">
        <x:v>Guest loses access after expiry across all clients and tokens.</x:v>
      </x:c>
      <x:c r="G194" s="10" t="str">
        <x:v>Must</x:v>
      </x:c>
      <x:c r="H194" s="10" t="str">
        <x:v>Core</x:v>
      </x:c>
      <x:c r="I194" s="10" t="str">
        <x:v>Not started</x:v>
      </x:c>
      <x:c r="J194" s="10" t="str"/>
      <x:c r="K194" s="10" t="str"/>
      <x:c r="L194" s="10" t="str"/>
    </x:row>
    <x:row r="195" ht="54" customHeight="1">
      <x:c r="A195" s="10" t="str">
        <x:v>EXT-07</x:v>
      </x:c>
      <x:c r="B195" s="10" t="str">
        <x:v>External collaboration and secure information exchange</x:v>
      </x:c>
      <x:c r="C195" s="10" t="str">
        <x:v>Controlled outbound packages</x:v>
      </x:c>
      <x:c r="D195" s="10" t="str">
        <x:v>Create export bundles with manifests, recipients, justification, expiry and optional passwordless authentication.</x:v>
      </x:c>
      <x:c r="E195" s="10" t="str">
        <x:v>Packaging checks every member document, legal hold and export approval.</x:v>
      </x:c>
      <x:c r="F195" s="10" t="str">
        <x:v>Package excludes a file whose rights were revoked during bundling.</x:v>
      </x:c>
      <x:c r="G195" s="10" t="str">
        <x:v>Should</x:v>
      </x:c>
      <x:c r="H195" s="10" t="str">
        <x:v>Enterprise</x:v>
      </x:c>
      <x:c r="I195" s="10" t="str">
        <x:v>Not started</x:v>
      </x:c>
      <x:c r="J195" s="10" t="str"/>
      <x:c r="K195" s="10" t="str"/>
      <x:c r="L195" s="10" t="str"/>
    </x:row>
    <x:row r="196" ht="54" customHeight="1">
      <x:c r="A196" s="10" t="str">
        <x:v>EXT-08</x:v>
      </x:c>
      <x:c r="B196" s="10" t="str">
        <x:v>External collaboration and secure information exchange</x:v>
      </x:c>
      <x:c r="C196" s="10" t="str">
        <x:v>Inter-subsidiary disclosure agreements</x:v>
      </x:c>
      <x:c r="D196" s="10" t="str">
        <x:v>Record approved purposes, sharing sponsor, allowed classifications and authorized recipients for intercompany exchanges.</x:v>
      </x:c>
      <x:c r="E196" s="10" t="str">
        <x:v>No automatic blanket grants simply because companies share an owner.</x:v>
      </x:c>
      <x:c r="F196" s="10" t="str">
        <x:v>Cross-company data grant cannot proceed without required originating tenant approval.</x:v>
      </x:c>
      <x:c r="G196" s="10" t="str">
        <x:v>Should</x:v>
      </x:c>
      <x:c r="H196" s="10" t="str">
        <x:v>Enterprise</x:v>
      </x:c>
      <x:c r="I196" s="10" t="str">
        <x:v>Not started</x:v>
      </x:c>
      <x:c r="J196" s="10" t="str"/>
      <x:c r="K196" s="10" t="str"/>
      <x:c r="L196" s="10" t="str"/>
    </x:row>
    <x:row r="197" ht="54" customHeight="1">
      <x:c r="A197" s="10" t="str">
        <x:v>EXT-09</x:v>
      </x:c>
      <x:c r="B197" s="10" t="str">
        <x:v>External collaboration and secure information exchange</x:v>
      </x:c>
      <x:c r="C197" s="10" t="str">
        <x:v>Negotiation and external review</x:v>
      </x:c>
      <x:c r="D197" s="10" t="str">
        <x:v>Allow counterparties to comment on drafts and upload revisions within an isolated deal space.</x:v>
      </x:c>
      <x:c r="E197" s="10" t="str">
        <x:v>Final approval remains under internal controls and external reviewers cannot edit released originals.</x:v>
      </x:c>
      <x:c r="F197" s="10" t="str">
        <x:v>Negotiation creates separate draft versions and final handoff evidence.</x:v>
      </x:c>
      <x:c r="G197" s="10" t="str">
        <x:v>Advanced</x:v>
      </x:c>
      <x:c r="H197" s="10" t="str">
        <x:v>Expansion</x:v>
      </x:c>
      <x:c r="I197" s="10" t="str">
        <x:v>Not started</x:v>
      </x:c>
      <x:c r="J197" s="10" t="str"/>
      <x:c r="K197" s="10" t="str"/>
      <x:c r="L197" s="10" t="str"/>
    </x:row>
    <x:row r="198" ht="54" customHeight="1">
      <x:c r="A198" s="10" t="str">
        <x:v>EXT-10</x:v>
      </x:c>
      <x:c r="B198" s="10" t="str">
        <x:v>External collaboration and secure information exchange</x:v>
      </x:c>
      <x:c r="C198" s="10" t="str">
        <x:v>Public knowledge portal</x:v>
      </x:c>
      <x:c r="D198" s="10" t="str">
        <x:v>Publish specifically approved low-sensitivity articles into a searchable public knowledge base with explicit declassification workflow.</x:v>
      </x:c>
      <x:c r="E198" s="10" t="str">
        <x:v>Public site runs on separate content publication path; never queries confidential repository as anonymous user.</x:v>
      </x:c>
      <x:c r="F198" s="10" t="str">
        <x:v>Approved article appears publicly; classified attachment remains unreachable.</x:v>
      </x:c>
      <x:c r="G198" s="10" t="str">
        <x:v>Advanced</x:v>
      </x:c>
      <x:c r="H198" s="10" t="str">
        <x:v>Expansion</x:v>
      </x:c>
      <x:c r="I198" s="10" t="str">
        <x:v>Not started</x:v>
      </x:c>
      <x:c r="J198" s="10" t="str"/>
      <x:c r="K198" s="10" t="str"/>
      <x:c r="L198" s="10" t="str"/>
    </x:row>
    <x:row r="199" ht="54" customHeight="1">
      <x:c r="A199" s="10" t="str">
        <x:v>EXT-11</x:v>
      </x:c>
      <x:c r="B199" s="10" t="str">
        <x:v>External collaboration and secure information exchange</x:v>
      </x:c>
      <x:c r="C199" s="10" t="str">
        <x:v>Secure outbound notifications</x:v>
      </x:c>
      <x:c r="D199" s="10" t="str">
        <x:v>Send notices with safe summaries, deep links and configurable confidential-data suppression.</x:v>
      </x:c>
      <x:c r="E199" s="10" t="str">
        <x:v>No attachment of high-security plaintext content to ordinary email unless explicitly permitted.</x:v>
      </x:c>
      <x:c r="F199" s="10" t="str">
        <x:v>Invitation email contains no private filenames when classification forbids it.</x:v>
      </x:c>
      <x:c r="G199" s="10" t="str">
        <x:v>Must</x:v>
      </x:c>
      <x:c r="H199" s="10" t="str">
        <x:v>Core</x:v>
      </x:c>
      <x:c r="I199" s="10" t="str">
        <x:v>Not started</x:v>
      </x:c>
      <x:c r="J199" s="10" t="str"/>
      <x:c r="K199" s="10" t="str"/>
      <x:c r="L199" s="10" t="str"/>
    </x:row>
    <x:row r="200" ht="54" customHeight="1">
      <x:c r="A200" s="10" t="str">
        <x:v>EXT-12</x:v>
      </x:c>
      <x:c r="B200" s="10" t="str">
        <x:v>External collaboration and secure information exchange</x:v>
      </x:c>
      <x:c r="C200" s="10" t="str">
        <x:v>Partner audit and attestations</x:v>
      </x:c>
      <x:c r="D200" s="10" t="str">
        <x:v>Capture contractual acknowledgments, non-disclosure terms, access histories and partner offboarding.</x:v>
      </x:c>
      <x:c r="E200" s="10" t="str">
        <x:v>Documents remain under source tenant governance and legal holds.</x:v>
      </x:c>
      <x:c r="F200" s="10" t="str">
        <x:v>External auditor report shows only permitted access events for named collaboration.</x:v>
      </x:c>
      <x:c r="G200" s="10" t="str">
        <x:v>Should</x:v>
      </x:c>
      <x:c r="H200" s="10" t="str">
        <x:v>Enterprise</x:v>
      </x:c>
      <x:c r="I200" s="10" t="str">
        <x:v>Not started</x:v>
      </x:c>
      <x:c r="J200" s="10" t="str"/>
      <x:c r="K200" s="10" t="str"/>
      <x:c r="L200" s="10" t="str"/>
    </x:row>
    <x:row r="201" ht="54" customHeight="1">
      <x:c r="A201" s="10" t="str">
        <x:v>EXT-13</x:v>
      </x:c>
      <x:c r="B201" s="10" t="str">
        <x:v>External collaboration and secure information exchange</x:v>
      </x:c>
      <x:c r="C201" s="10" t="str">
        <x:v>Cross-tenant collaboration reviews</x:v>
      </x:c>
      <x:c r="D201" s="10" t="str">
        <x:v>Prompt periodic review of active intercompany spaces, expired projects, external permissions and recipient keys.</x:v>
      </x:c>
      <x:c r="E201" s="10" t="str">
        <x:v>Review must consider cached keys and historic downloaded copies.</x:v>
      </x:c>
      <x:c r="F201" s="10" t="str">
        <x:v>Closing project revokes access, closes shares and launches configured rekey jobs.</x:v>
      </x:c>
      <x:c r="G201" s="10" t="str">
        <x:v>Should</x:v>
      </x:c>
      <x:c r="H201" s="10" t="str">
        <x:v>Enterprise</x:v>
      </x:c>
      <x:c r="I201" s="10" t="str">
        <x:v>Not started</x:v>
      </x:c>
      <x:c r="J201" s="10" t="str"/>
      <x:c r="K201" s="10" t="str"/>
      <x:c r="L201" s="10" t="str"/>
    </x:row>
    <x:row r="202" ht="54" customHeight="1">
      <x:c r="A202" s="10" t="str">
        <x:v>RPT-01</x:v>
      </x:c>
      <x:c r="B202" s="10" t="str">
        <x:v>Audit trails, reporting, analytics and oversight</x:v>
      </x:c>
      <x:c r="C202" s="10" t="str">
        <x:v>Independent append-only audit events</x:v>
      </x:c>
      <x:c r="D202" s="10" t="str">
        <x:v>Record login, access decision, preview, export, key action, change, approval, hold, disposition and privileged elevation.</x:v>
      </x:c>
      <x:c r="E202" s="10" t="str">
        <x:v>Collect and integrity-protect events outside WordPress administrator control.</x:v>
      </x:c>
      <x:c r="F202" s="10" t="str">
        <x:v>Local WordPress root compromise cannot silently edit historic audit entries.</x:v>
      </x:c>
      <x:c r="G202" s="10" t="str">
        <x:v>Must</x:v>
      </x:c>
      <x:c r="H202" s="10" t="str">
        <x:v>Core</x:v>
      </x:c>
      <x:c r="I202" s="10" t="str">
        <x:v>Not started</x:v>
      </x:c>
      <x:c r="J202" s="10" t="str"/>
      <x:c r="K202" s="10" t="str"/>
      <x:c r="L202" s="10" t="str"/>
    </x:row>
    <x:row r="203" ht="54" customHeight="1">
      <x:c r="A203" s="10" t="str">
        <x:v>RPT-02</x:v>
      </x:c>
      <x:c r="B203" s="10" t="str">
        <x:v>Audit trails, reporting, analytics and oversight</x:v>
      </x:c>
      <x:c r="C203" s="10" t="str">
        <x:v>Auditable policy decision traces</x:v>
      </x:c>
      <x:c r="D203" s="10" t="str">
        <x:v>Capture actor, verified tenant, resource, action, policy version, outcome, timestamp and request correlation.</x:v>
      </x:c>
      <x:c r="E203" s="10" t="str">
        <x:v>Sensitive request bodies, plaintext secrets and document names may need redaction or encryption.</x:v>
      </x:c>
      <x:c r="F203" s="10" t="str">
        <x:v>Investigator reconstructs denied download and applicable ACL/policy rule.</x:v>
      </x:c>
      <x:c r="G203" s="10" t="str">
        <x:v>Must</x:v>
      </x:c>
      <x:c r="H203" s="10" t="str">
        <x:v>Core</x:v>
      </x:c>
      <x:c r="I203" s="10" t="str">
        <x:v>Not started</x:v>
      </x:c>
      <x:c r="J203" s="10" t="str"/>
      <x:c r="K203" s="10" t="str"/>
      <x:c r="L203" s="10" t="str"/>
    </x:row>
    <x:row r="204" ht="54" customHeight="1">
      <x:c r="A204" s="10" t="str">
        <x:v>RPT-03</x:v>
      </x:c>
      <x:c r="B204" s="10" t="str">
        <x:v>Audit trails, reporting, analytics and oversight</x:v>
      </x:c>
      <x:c r="C204" s="10" t="str">
        <x:v>Download and view access records</x:v>
      </x:c>
      <x:c r="D204" s="10" t="str">
        <x:v>Log view, download, offline sync and print attempts with success/failure and contextual risk information.</x:v>
      </x:c>
      <x:c r="E204" s="10" t="str">
        <x:v>Log existence does not imply document contents were read; communicate event semantics accurately.</x:v>
      </x:c>
      <x:c r="F204" s="10" t="str">
        <x:v>Access report distinguishes link clicked, bytes streamed and explicit download completed.</x:v>
      </x:c>
      <x:c r="G204" s="10" t="str">
        <x:v>Must</x:v>
      </x:c>
      <x:c r="H204" s="10" t="str">
        <x:v>Core</x:v>
      </x:c>
      <x:c r="I204" s="10" t="str">
        <x:v>Not started</x:v>
      </x:c>
      <x:c r="J204" s="10" t="str"/>
      <x:c r="K204" s="10" t="str"/>
      <x:c r="L204" s="10" t="str"/>
    </x:row>
    <x:row r="205" ht="54" customHeight="1">
      <x:c r="A205" s="10" t="str">
        <x:v>RPT-04</x:v>
      </x:c>
      <x:c r="B205" s="10" t="str">
        <x:v>Audit trails, reporting, analytics and oversight</x:v>
      </x:c>
      <x:c r="C205" s="10" t="str">
        <x:v>Tamper-evident event chains</x:v>
      </x:c>
      <x:c r="D205" s="10" t="str">
        <x:v>Hash-chain or sign batches and anchor checkpoints to independently controlled storage or a trusted timestamp service.</x:v>
      </x:c>
      <x:c r="E205" s="10" t="str">
        <x:v>Integrity proof must remain verifiable after key rotation and log archival.</x:v>
      </x:c>
      <x:c r="F205" s="10" t="str">
        <x:v>Modified middle event causes proof verification failure.</x:v>
      </x:c>
      <x:c r="G205" s="10" t="str">
        <x:v>Should</x:v>
      </x:c>
      <x:c r="H205" s="10" t="str">
        <x:v>Enterprise</x:v>
      </x:c>
      <x:c r="I205" s="10" t="str">
        <x:v>Not started</x:v>
      </x:c>
      <x:c r="J205" s="10" t="str"/>
      <x:c r="K205" s="10" t="str"/>
      <x:c r="L205" s="10" t="str"/>
    </x:row>
    <x:row r="206" ht="54" customHeight="1">
      <x:c r="A206" s="10" t="str">
        <x:v>RPT-05</x:v>
      </x:c>
      <x:c r="B206" s="10" t="str">
        <x:v>Audit trails, reporting, analytics and oversight</x:v>
      </x:c>
      <x:c r="C206" s="10" t="str">
        <x:v>Subsidiary dashboards</x:v>
      </x:c>
      <x:c r="D206" s="10" t="str">
        <x:v>Show document counts, storage, approvals, expiring policies, overdue reviews, guest memberships and audit exception counts.</x:v>
      </x:c>
      <x:c r="E206" s="10" t="str">
        <x:v>Drilldowns enforce same rights as primary content services.</x:v>
      </x:c>
      <x:c r="F206" s="10" t="str">
        <x:v>Tenant administrator sees their own entity's metrics and permitted breakdowns.</x:v>
      </x:c>
      <x:c r="G206" s="10" t="str">
        <x:v>Must</x:v>
      </x:c>
      <x:c r="H206" s="10" t="str">
        <x:v>Core</x:v>
      </x:c>
      <x:c r="I206" s="10" t="str">
        <x:v>Not started</x:v>
      </x:c>
      <x:c r="J206" s="10" t="str"/>
      <x:c r="K206" s="10" t="str"/>
      <x:c r="L206" s="10" t="str"/>
    </x:row>
    <x:row r="207" ht="54" customHeight="1">
      <x:c r="A207" s="10" t="str">
        <x:v>RPT-06</x:v>
      </x:c>
      <x:c r="B207" s="10" t="str">
        <x:v>Audit trails, reporting, analytics and oversight</x:v>
      </x:c>
      <x:c r="C207" s="10" t="str">
        <x:v>Holding oversight dashboard</x:v>
      </x:c>
      <x:c r="D207" s="10" t="str">
        <x:v>Display authorized group-level compliance posture, policy exceptions, workload trends and tenant operational health.</x:v>
      </x:c>
      <x:c r="E207" s="10" t="str">
        <x:v>Holding reports provide aggregate counts without implied subsidiary plaintext read.</x:v>
      </x:c>
      <x:c r="F207" s="10" t="str">
        <x:v>Global administrator views summary while forbidden document links are absent.</x:v>
      </x:c>
      <x:c r="G207" s="10" t="str">
        <x:v>Must</x:v>
      </x:c>
      <x:c r="H207" s="10" t="str">
        <x:v>Core</x:v>
      </x:c>
      <x:c r="I207" s="10" t="str">
        <x:v>Not started</x:v>
      </x:c>
      <x:c r="J207" s="10" t="str"/>
      <x:c r="K207" s="10" t="str"/>
      <x:c r="L207" s="10" t="str"/>
    </x:row>
    <x:row r="208" ht="54" customHeight="1">
      <x:c r="A208" s="10" t="str">
        <x:v>RPT-07</x:v>
      </x:c>
      <x:c r="B208" s="10" t="str">
        <x:v>Audit trails, reporting, analytics and oversight</x:v>
      </x:c>
      <x:c r="C208" s="10" t="str">
        <x:v>Custom report designer</x:v>
      </x:c>
      <x:c r="D208" s="10" t="str">
        <x:v>Let authorized analysts choose columns, filters, schedules, aggregation and output type from a governed semantic layer.</x:v>
      </x:c>
      <x:c r="E208" s="10" t="str">
        <x:v>Suppress or threshold small sensitive groups and apply row-level authorization.</x:v>
      </x:c>
      <x:c r="F208" s="10" t="str">
        <x:v>Report saved by entity A cannot access entity B via modified filter.</x:v>
      </x:c>
      <x:c r="G208" s="10" t="str">
        <x:v>Should</x:v>
      </x:c>
      <x:c r="H208" s="10" t="str">
        <x:v>Enterprise</x:v>
      </x:c>
      <x:c r="I208" s="10" t="str">
        <x:v>Not started</x:v>
      </x:c>
      <x:c r="J208" s="10" t="str"/>
      <x:c r="K208" s="10" t="str"/>
      <x:c r="L208" s="10" t="str"/>
    </x:row>
    <x:row r="209" ht="54" customHeight="1">
      <x:c r="A209" s="10" t="str">
        <x:v>RPT-08</x:v>
      </x:c>
      <x:c r="B209" s="10" t="str">
        <x:v>Audit trails, reporting, analytics and oversight</x:v>
      </x:c>
      <x:c r="C209" s="10" t="str">
        <x:v>Scheduled reporting</x:v>
      </x:c>
      <x:c r="D209" s="10" t="str">
        <x:v>Generate periodic PDF/CSV/Excel summaries with secure delivery or protected portal links.</x:v>
      </x:c>
      <x:c r="E209" s="10" t="str">
        <x:v>Report execution rechecks permissions at run time, not merely schedule creation.</x:v>
      </x:c>
      <x:c r="F209" s="10" t="str">
        <x:v>Revoking report owner's access stops future sensitive distributions.</x:v>
      </x:c>
      <x:c r="G209" s="10" t="str">
        <x:v>Should</x:v>
      </x:c>
      <x:c r="H209" s="10" t="str">
        <x:v>Enterprise</x:v>
      </x:c>
      <x:c r="I209" s="10" t="str">
        <x:v>Not started</x:v>
      </x:c>
      <x:c r="J209" s="10" t="str"/>
      <x:c r="K209" s="10" t="str"/>
      <x:c r="L209" s="10" t="str"/>
    </x:row>
    <x:row r="210" ht="54" customHeight="1">
      <x:c r="A210" s="10" t="str">
        <x:v>RPT-09</x:v>
      </x:c>
      <x:c r="B210" s="10" t="str">
        <x:v>Audit trails, reporting, analytics and oversight</x:v>
      </x:c>
      <x:c r="C210" s="10" t="str">
        <x:v>Security event SIEM export</x:v>
      </x:c>
      <x:c r="D210" s="10" t="str">
        <x:v>Stream approved normalized audit events to SIEM through signed, resilient, structured integration with retries.</x:v>
      </x:c>
      <x:c r="E210" s="10" t="str">
        <x:v>Confidential payloads are minimized, encryptable and tenant-separated.</x:v>
      </x:c>
      <x:c r="F210" s="10" t="str">
        <x:v>Event pipeline resumes from checkpoint without duplicate semantic incidents.</x:v>
      </x:c>
      <x:c r="G210" s="10" t="str">
        <x:v>Should</x:v>
      </x:c>
      <x:c r="H210" s="10" t="str">
        <x:v>Enterprise</x:v>
      </x:c>
      <x:c r="I210" s="10" t="str">
        <x:v>Not started</x:v>
      </x:c>
      <x:c r="J210" s="10" t="str"/>
      <x:c r="K210" s="10" t="str"/>
      <x:c r="L210" s="10" t="str"/>
    </x:row>
    <x:row r="211" ht="54" customHeight="1">
      <x:c r="A211" s="10" t="str">
        <x:v>RPT-10</x:v>
      </x:c>
      <x:c r="B211" s="10" t="str">
        <x:v>Audit trails, reporting, analytics and oversight</x:v>
      </x:c>
      <x:c r="C211" s="10" t="str">
        <x:v>Privacy access ledger</x:v>
      </x:c>
      <x:c r="D211" s="10" t="str">
        <x:v>Provide the organization with traceable reports of who accessed or processed protected personal data.</x:v>
      </x:c>
      <x:c r="E211" s="10" t="str">
        <x:v>Such reports have independent approvals and avoid exposing private document content.</x:v>
      </x:c>
      <x:c r="F211" s="10" t="str">
        <x:v>Data subject investigation report can identify relevant lawful handling events.</x:v>
      </x:c>
      <x:c r="G211" s="10" t="str">
        <x:v>Should</x:v>
      </x:c>
      <x:c r="H211" s="10" t="str">
        <x:v>Enterprise</x:v>
      </x:c>
      <x:c r="I211" s="10" t="str">
        <x:v>Not started</x:v>
      </x:c>
      <x:c r="J211" s="10" t="str"/>
      <x:c r="K211" s="10" t="str"/>
      <x:c r="L211" s="10" t="str"/>
    </x:row>
    <x:row r="212" ht="54" customHeight="1">
      <x:c r="A212" s="10" t="str">
        <x:v>RPT-11</x:v>
      </x:c>
      <x:c r="B212" s="10" t="str">
        <x:v>Audit trails, reporting, analytics and oversight</x:v>
      </x:c>
      <x:c r="C212" s="10" t="str">
        <x:v>Process performance analytics</x:v>
      </x:c>
      <x:c r="D212" s="10" t="str">
        <x:v>Measure average approval duration, first-pass acceptance, overdue items, bottleneck steps and policy renewal performance.</x:v>
      </x:c>
      <x:c r="E212" s="10" t="str">
        <x:v>Avoid ranking individual employees by secret surveillance metrics.</x:v>
      </x:c>
      <x:c r="F212" s="10" t="str">
        <x:v>Dashboard figures reconcile to workflow ledger records.</x:v>
      </x:c>
      <x:c r="G212" s="10" t="str">
        <x:v>Should</x:v>
      </x:c>
      <x:c r="H212" s="10" t="str">
        <x:v>Enterprise</x:v>
      </x:c>
      <x:c r="I212" s="10" t="str">
        <x:v>Not started</x:v>
      </x:c>
      <x:c r="J212" s="10" t="str"/>
      <x:c r="K212" s="10" t="str"/>
      <x:c r="L212" s="10" t="str"/>
    </x:row>
    <x:row r="213" ht="54" customHeight="1">
      <x:c r="A213" s="10" t="str">
        <x:v>RPT-12</x:v>
      </x:c>
      <x:c r="B213" s="10" t="str">
        <x:v>Audit trails, reporting, analytics and oversight</x:v>
      </x:c>
      <x:c r="C213" s="10" t="str">
        <x:v>Search and knowledge analytics</x:v>
      </x:c>
      <x:c r="D213" s="10" t="str">
        <x:v>Analyze search success, unanswered questions, stale guidance and usage trends using privacy-safe aggregation.</x:v>
      </x:c>
      <x:c r="E213" s="10" t="str">
        <x:v>Query logs and click histories have retention, suppression and access controls.</x:v>
      </x:c>
      <x:c r="F213" s="10" t="str">
        <x:v>Search effectiveness report omits low-volume sensitive terms.</x:v>
      </x:c>
      <x:c r="G213" s="10" t="str">
        <x:v>Should</x:v>
      </x:c>
      <x:c r="H213" s="10" t="str">
        <x:v>Enterprise</x:v>
      </x:c>
      <x:c r="I213" s="10" t="str">
        <x:v>Not started</x:v>
      </x:c>
      <x:c r="J213" s="10" t="str"/>
      <x:c r="K213" s="10" t="str"/>
      <x:c r="L213" s="10" t="str"/>
    </x:row>
    <x:row r="214" ht="54" customHeight="1">
      <x:c r="A214" s="10" t="str">
        <x:v>RPT-13</x:v>
      </x:c>
      <x:c r="B214" s="10" t="str">
        <x:v>Audit trails, reporting, analytics and oversight</x:v>
      </x:c>
      <x:c r="C214" s="10" t="str">
        <x:v>Compliance evidence package</x:v>
      </x:c>
      <x:c r="D214" s="10" t="str">
        <x:v>Export policy settings, role assignments, certifications, change records, key-control attestations and test evidence by period.</x:v>
      </x:c>
      <x:c r="E214" s="10" t="str">
        <x:v>Evidence packages require scoped authorization and omit unreleasable content.</x:v>
      </x:c>
      <x:c r="F214" s="10" t="str">
        <x:v>External auditor validates digest and evidence manifest without admin database access.</x:v>
      </x:c>
      <x:c r="G214" s="10" t="str">
        <x:v>Should</x:v>
      </x:c>
      <x:c r="H214" s="10" t="str">
        <x:v>Enterprise</x:v>
      </x:c>
      <x:c r="I214" s="10" t="str">
        <x:v>Not started</x:v>
      </x:c>
      <x:c r="J214" s="10" t="str"/>
      <x:c r="K214" s="10" t="str"/>
      <x:c r="L214" s="10" t="str"/>
    </x:row>
    <x:row r="215" ht="54" customHeight="1">
      <x:c r="A215" s="10" t="str">
        <x:v>RPT-14</x:v>
      </x:c>
      <x:c r="B215" s="10" t="str">
        <x:v>Audit trails, reporting, analytics and oversight</x:v>
      </x:c>
      <x:c r="C215" s="10" t="str">
        <x:v>Access anomaly visualization</x:v>
      </x:c>
      <x:c r="D215" s="10" t="str">
        <x:v>Provide case-specific behavior timelines, change heat maps, download bursts and suspected account compromise trends.</x:v>
      </x:c>
      <x:c r="E215" s="10" t="str">
        <x:v>AI/heuristics are advisory signals, not definitive guilt findings.</x:v>
      </x:c>
      <x:c r="F215" s="10" t="str">
        <x:v>Security analyst can replay anomaly timeline from signed events.</x:v>
      </x:c>
      <x:c r="G215" s="10" t="str">
        <x:v>Advanced</x:v>
      </x:c>
      <x:c r="H215" s="10" t="str">
        <x:v>Expansion</x:v>
      </x:c>
      <x:c r="I215" s="10" t="str">
        <x:v>Not started</x:v>
      </x:c>
      <x:c r="J215" s="10" t="str"/>
      <x:c r="K215" s="10" t="str"/>
      <x:c r="L215" s="10" t="str"/>
    </x:row>
    <x:row r="216" ht="54" customHeight="1">
      <x:c r="A216" s="10" t="str">
        <x:v>AIX-01</x:v>
      </x:c>
      <x:c r="B216" s="10" t="str">
        <x:v>Privacy-aware AI, intelligence and automation</x:v>
      </x:c>
      <x:c r="C216" s="10" t="str">
        <x:v>AI feature policy center</x:v>
      </x:c>
      <x:c r="D216" s="10" t="str">
        <x:v>Enable or prohibit AI by tenant, data classification, user role, model destination and document processing mode.</x:v>
      </x:c>
      <x:c r="E216" s="10" t="str">
        <x:v>Explicitly block external processing of zero-knowledge plaintext absent approved client-controlled release.</x:v>
      </x:c>
      <x:c r="F216" s="10" t="str">
        <x:v>AI call for an excluded Restricted document is rejected before data leaves tenant boundary.</x:v>
      </x:c>
      <x:c r="G216" s="10" t="str">
        <x:v>Must</x:v>
      </x:c>
      <x:c r="H216" s="10" t="str">
        <x:v>Core</x:v>
      </x:c>
      <x:c r="I216" s="10" t="str">
        <x:v>Not started</x:v>
      </x:c>
      <x:c r="J216" s="10" t="str"/>
      <x:c r="K216" s="10" t="str"/>
      <x:c r="L216" s="10" t="str"/>
    </x:row>
    <x:row r="217" ht="54" customHeight="1">
      <x:c r="A217" s="10" t="str">
        <x:v>AIX-02</x:v>
      </x:c>
      <x:c r="B217" s="10" t="str">
        <x:v>Privacy-aware AI, intelligence and automation</x:v>
      </x:c>
      <x:c r="C217" s="10" t="str">
        <x:v>Permission-trimmed enterprise Q&amp;A</x:v>
      </x:c>
      <x:c r="D217" s="10" t="str">
        <x:v>Answer questions using approved current documents with citations, source versions and permission-scoped retrieval.</x:v>
      </x:c>
      <x:c r="E217" s="10" t="str">
        <x:v>Recheck source rights at retrieval and response; model text cannot grant file permissions.</x:v>
      </x:c>
      <x:c r="F217" s="10" t="str">
        <x:v>Same query yields no excerpts or citations from denied documents.</x:v>
      </x:c>
      <x:c r="G217" s="10" t="str">
        <x:v>Should</x:v>
      </x:c>
      <x:c r="H217" s="10" t="str">
        <x:v>Enterprise</x:v>
      </x:c>
      <x:c r="I217" s="10" t="str">
        <x:v>Not started</x:v>
      </x:c>
      <x:c r="J217" s="10" t="str"/>
      <x:c r="K217" s="10" t="str"/>
      <x:c r="L217" s="10" t="str"/>
    </x:row>
    <x:row r="218" ht="54" customHeight="1">
      <x:c r="A218" s="10" t="str">
        <x:v>AIX-03</x:v>
      </x:c>
      <x:c r="B218" s="10" t="str">
        <x:v>Privacy-aware AI, intelligence and automation</x:v>
      </x:c>
      <x:c r="C218" s="10" t="str">
        <x:v>Summarization and document briefs</x:v>
      </x:c>
      <x:c r="D218" s="10" t="str">
        <x:v>Generate summaries, executive briefs, action lists and change digests for authorized content.</x:v>
      </x:c>
      <x:c r="E218" s="10" t="str">
        <x:v>Managed mode uses approved processing enclave; zero-knowledge summary runs locally or only after explicit disclosure.</x:v>
      </x:c>
      <x:c r="F218" s="10" t="str">
        <x:v>Summary links to source locations and is labeled as machine-generated.</x:v>
      </x:c>
      <x:c r="G218" s="10" t="str">
        <x:v>Should</x:v>
      </x:c>
      <x:c r="H218" s="10" t="str">
        <x:v>Enterprise</x:v>
      </x:c>
      <x:c r="I218" s="10" t="str">
        <x:v>Not started</x:v>
      </x:c>
      <x:c r="J218" s="10" t="str"/>
      <x:c r="K218" s="10" t="str"/>
      <x:c r="L218" s="10" t="str"/>
    </x:row>
    <x:row r="219" ht="54" customHeight="1">
      <x:c r="A219" s="10" t="str">
        <x:v>AIX-04</x:v>
      </x:c>
      <x:c r="B219" s="10" t="str">
        <x:v>Privacy-aware AI, intelligence and automation</x:v>
      </x:c>
      <x:c r="C219" s="10" t="str">
        <x:v>Semantic and vector search</x:v>
      </x:c>
      <x:c r="D219" s="10" t="str">
        <x:v>Support embedding-based similarity and hybrid retrieval for permitted managed-mode collections.</x:v>
      </x:c>
      <x:c r="E219" s="10" t="str">
        <x:v>Embeddings can leak data; encrypt/protect indexes and partition by tenant, class and rights.</x:v>
      </x:c>
      <x:c r="F219" s="10" t="str">
        <x:v>User cannot infer restricted phrases or vectors via nearest-neighbor queries.</x:v>
      </x:c>
      <x:c r="G219" s="10" t="str">
        <x:v>Should</x:v>
      </x:c>
      <x:c r="H219" s="10" t="str">
        <x:v>Enterprise</x:v>
      </x:c>
      <x:c r="I219" s="10" t="str">
        <x:v>Not started</x:v>
      </x:c>
      <x:c r="J219" s="10" t="str"/>
      <x:c r="K219" s="10" t="str"/>
      <x:c r="L219" s="10" t="str"/>
    </x:row>
    <x:row r="220" ht="54" customHeight="1">
      <x:c r="A220" s="10" t="str">
        <x:v>AIX-05</x:v>
      </x:c>
      <x:c r="B220" s="10" t="str">
        <x:v>Privacy-aware AI, intelligence and automation</x:v>
      </x:c>
      <x:c r="C220" s="10" t="str">
        <x:v>AI-assisted classification</x:v>
      </x:c>
      <x:c r="D220" s="10" t="str">
        <x:v>Suggest category, sensitivity, owner, taxonomy and retention class using approved models.</x:v>
      </x:c>
      <x:c r="E220" s="10" t="str">
        <x:v>Suggestion never downgrades restricted classification without human authorization.</x:v>
      </x:c>
      <x:c r="F220" s="10" t="str">
        <x:v>Human can accept/reject suggestion and reason is recorded.</x:v>
      </x:c>
      <x:c r="G220" s="10" t="str">
        <x:v>Should</x:v>
      </x:c>
      <x:c r="H220" s="10" t="str">
        <x:v>Enterprise</x:v>
      </x:c>
      <x:c r="I220" s="10" t="str">
        <x:v>Not started</x:v>
      </x:c>
      <x:c r="J220" s="10" t="str"/>
      <x:c r="K220" s="10" t="str"/>
      <x:c r="L220" s="10" t="str"/>
    </x:row>
    <x:row r="221" ht="54" customHeight="1">
      <x:c r="A221" s="10" t="str">
        <x:v>AIX-06</x:v>
      </x:c>
      <x:c r="B221" s="10" t="str">
        <x:v>Privacy-aware AI, intelligence and automation</x:v>
      </x:c>
      <x:c r="C221" s="10" t="str">
        <x:v>Entity and obligation extraction</x:v>
      </x:c>
      <x:c r="D221" s="10" t="str">
        <x:v>Extract dates, counterparties, monetary terms, obligations, deliverables and renewal clauses from managed contracts.</x:v>
      </x:c>
      <x:c r="E221" s="10" t="str">
        <x:v>Results have confidence, source evidence, user review and confidentiality controls.</x:v>
      </x:c>
      <x:c r="F221" s="10" t="str">
        <x:v>Extracted renewal date is traceable to clause and needs approval before workflow trigger.</x:v>
      </x:c>
      <x:c r="G221" s="10" t="str">
        <x:v>Should</x:v>
      </x:c>
      <x:c r="H221" s="10" t="str">
        <x:v>Enterprise</x:v>
      </x:c>
      <x:c r="I221" s="10" t="str">
        <x:v>Not started</x:v>
      </x:c>
      <x:c r="J221" s="10" t="str"/>
      <x:c r="K221" s="10" t="str"/>
      <x:c r="L221" s="10" t="str"/>
    </x:row>
    <x:row r="222" ht="54" customHeight="1">
      <x:c r="A222" s="10" t="str">
        <x:v>AIX-07</x:v>
      </x:c>
      <x:c r="B222" s="10" t="str">
        <x:v>Privacy-aware AI, intelligence and automation</x:v>
      </x:c>
      <x:c r="C222" s="10" t="str">
        <x:v>Translation assistance</x:v>
      </x:c>
      <x:c r="D222" s="10" t="str">
        <x:v>Offer secure machine translation of permitted content in chosen language pairs with human-review workflow.</x:v>
      </x:c>
      <x:c r="E222" s="10" t="str">
        <x:v>External vendors cannot receive protected text without approved data transfer and processing agreement.</x:v>
      </x:c>
      <x:c r="F222" s="10" t="str">
        <x:v>Translation preserves source references and reports unsupported formats honestly.</x:v>
      </x:c>
      <x:c r="G222" s="10" t="str">
        <x:v>Advanced</x:v>
      </x:c>
      <x:c r="H222" s="10" t="str">
        <x:v>Expansion</x:v>
      </x:c>
      <x:c r="I222" s="10" t="str">
        <x:v>Not started</x:v>
      </x:c>
      <x:c r="J222" s="10" t="str"/>
      <x:c r="K222" s="10" t="str"/>
      <x:c r="L222" s="10" t="str"/>
    </x:row>
    <x:row r="223" ht="54" customHeight="1">
      <x:c r="A223" s="10" t="str">
        <x:v>AIX-08</x:v>
      </x:c>
      <x:c r="B223" s="10" t="str">
        <x:v>Privacy-aware AI, intelligence and automation</x:v>
      </x:c>
      <x:c r="C223" s="10" t="str">
        <x:v>Knowledge article drafting</x:v>
      </x:c>
      <x:c r="D223" s="10" t="str">
        <x:v>Suggest FAQ answers, summaries, procedures and outlines from permitted sources without publishing automatically.</x:v>
      </x:c>
      <x:c r="E223" s="10" t="str">
        <x:v>Generated content is visibly AI-authored until human validation.</x:v>
      </x:c>
      <x:c r="F223" s="10" t="str">
        <x:v>Editor can reject draft and output never appears as certified policy by default.</x:v>
      </x:c>
      <x:c r="G223" s="10" t="str">
        <x:v>Should</x:v>
      </x:c>
      <x:c r="H223" s="10" t="str">
        <x:v>Enterprise</x:v>
      </x:c>
      <x:c r="I223" s="10" t="str">
        <x:v>Not started</x:v>
      </x:c>
      <x:c r="J223" s="10" t="str"/>
      <x:c r="K223" s="10" t="str"/>
      <x:c r="L223" s="10" t="str"/>
    </x:row>
    <x:row r="224" ht="54" customHeight="1">
      <x:c r="A224" s="10" t="str">
        <x:v>AIX-09</x:v>
      </x:c>
      <x:c r="B224" s="10" t="str">
        <x:v>Privacy-aware AI, intelligence and automation</x:v>
      </x:c>
      <x:c r="C224" s="10" t="str">
        <x:v>Duplicate and conflict detection</x:v>
      </x:c>
      <x:c r="D224" s="10" t="str">
        <x:v>Identify inconsistent policies, redundant guides and superseded instructions among authorized corpora.</x:v>
      </x:c>
      <x:c r="E224" s="10" t="str">
        <x:v>Comparisons are scoped to parties allowed to inspect both sources.</x:v>
      </x:c>
      <x:c r="F224" s="10" t="str">
        <x:v>Conflict report cites exact authorized paragraphs and explains uncertainty.</x:v>
      </x:c>
      <x:c r="G224" s="10" t="str">
        <x:v>Advanced</x:v>
      </x:c>
      <x:c r="H224" s="10" t="str">
        <x:v>Expansion</x:v>
      </x:c>
      <x:c r="I224" s="10" t="str">
        <x:v>Not started</x:v>
      </x:c>
      <x:c r="J224" s="10" t="str"/>
      <x:c r="K224" s="10" t="str"/>
      <x:c r="L224" s="10" t="str"/>
    </x:row>
    <x:row r="225" ht="54" customHeight="1">
      <x:c r="A225" s="10" t="str">
        <x:v>AIX-10</x:v>
      </x:c>
      <x:c r="B225" s="10" t="str">
        <x:v>Privacy-aware AI, intelligence and automation</x:v>
      </x:c>
      <x:c r="C225" s="10" t="str">
        <x:v>Document question answering</x:v>
      </x:c>
      <x:c r="D225" s="10" t="str">
        <x:v>Ask scoped questions about a file and receive cited responses with precise version and page references.</x:v>
      </x:c>
      <x:c r="E225" s="10" t="str">
        <x:v>Zero-knowledge answering needs trusted local inference or explicit processing consent; do not silently upload keys.</x:v>
      </x:c>
      <x:c r="F225" s="10" t="str">
        <x:v>Each response either cites authorized source lines or declines when insufficient evidence.</x:v>
      </x:c>
      <x:c r="G225" s="10" t="str">
        <x:v>Should</x:v>
      </x:c>
      <x:c r="H225" s="10" t="str">
        <x:v>Enterprise</x:v>
      </x:c>
      <x:c r="I225" s="10" t="str">
        <x:v>Not started</x:v>
      </x:c>
      <x:c r="J225" s="10" t="str"/>
      <x:c r="K225" s="10" t="str"/>
      <x:c r="L225" s="10" t="str"/>
    </x:row>
    <x:row r="226" ht="54" customHeight="1">
      <x:c r="A226" s="10" t="str">
        <x:v>AIX-11</x:v>
      </x:c>
      <x:c r="B226" s="10" t="str">
        <x:v>Privacy-aware AI, intelligence and automation</x:v>
      </x:c>
      <x:c r="C226" s="10" t="str">
        <x:v>Model and prompt registry</x:v>
      </x:c>
      <x:c r="D226" s="10" t="str">
        <x:v>Version system prompts, retrieval settings, model approvals, evaluations, cost controls and deployment regions.</x:v>
      </x:c>
      <x:c r="E226" s="10" t="str">
        <x:v>System instructions and connectors are privileged, change-controlled configuration.</x:v>
      </x:c>
      <x:c r="F226" s="10" t="str">
        <x:v>AI run can be tied to reproducible model and prompt versions.</x:v>
      </x:c>
      <x:c r="G226" s="10" t="str">
        <x:v>Should</x:v>
      </x:c>
      <x:c r="H226" s="10" t="str">
        <x:v>Enterprise</x:v>
      </x:c>
      <x:c r="I226" s="10" t="str">
        <x:v>Not started</x:v>
      </x:c>
      <x:c r="J226" s="10" t="str"/>
      <x:c r="K226" s="10" t="str"/>
      <x:c r="L226" s="10" t="str"/>
    </x:row>
    <x:row r="227" ht="54" customHeight="1">
      <x:c r="A227" s="10" t="str">
        <x:v>AIX-12</x:v>
      </x:c>
      <x:c r="B227" s="10" t="str">
        <x:v>Privacy-aware AI, intelligence and automation</x:v>
      </x:c>
      <x:c r="C227" s="10" t="str">
        <x:v>Prompt injection defense</x:v>
      </x:c>
      <x:c r="D227" s="10" t="str">
        <x:v>Treat retrieved documents, websites and OCR text as untrusted instructions; isolate tools from model-generated commands.</x:v>
      </x:c>
      <x:c r="E227" s="10" t="str">
        <x:v>Model cannot read more documents or export information merely because source text requests it.</x:v>
      </x:c>
      <x:c r="F227" s="10" t="str">
        <x:v>Embedded instruction in a file fails to trigger unauthorized API access or exfiltration.</x:v>
      </x:c>
      <x:c r="G227" s="10" t="str">
        <x:v>Must</x:v>
      </x:c>
      <x:c r="H227" s="10" t="str">
        <x:v>Core</x:v>
      </x:c>
      <x:c r="I227" s="10" t="str">
        <x:v>Not started</x:v>
      </x:c>
      <x:c r="J227" s="10" t="str"/>
      <x:c r="K227" s="10" t="str"/>
      <x:c r="L227" s="10" t="str"/>
    </x:row>
    <x:row r="228" ht="54" customHeight="1">
      <x:c r="A228" s="10" t="str">
        <x:v>AIX-13</x:v>
      </x:c>
      <x:c r="B228" s="10" t="str">
        <x:v>Privacy-aware AI, intelligence and automation</x:v>
      </x:c>
      <x:c r="C228" s="10" t="str">
        <x:v>AI usage audit</x:v>
      </x:c>
      <x:c r="D228" s="10" t="str">
        <x:v>Log permitted metadata for queries, source IDs, model choices, consent, output handling and transfer records.</x:v>
      </x:c>
      <x:c r="E228" s="10" t="str">
        <x:v>Minimize or encrypt prompt/response payloads; allow legitimate legal audit with proper access.</x:v>
      </x:c>
      <x:c r="F228" s="10" t="str">
        <x:v>Audit can show which approved sources supported an AI draft without exposing contents to holding admins.</x:v>
      </x:c>
      <x:c r="G228" s="10" t="str">
        <x:v>Should</x:v>
      </x:c>
      <x:c r="H228" s="10" t="str">
        <x:v>Enterprise</x:v>
      </x:c>
      <x:c r="I228" s="10" t="str">
        <x:v>Not started</x:v>
      </x:c>
      <x:c r="J228" s="10" t="str"/>
      <x:c r="K228" s="10" t="str"/>
      <x:c r="L228" s="10" t="str"/>
    </x:row>
    <x:row r="229" ht="54" customHeight="1">
      <x:c r="A229" s="10" t="str">
        <x:v>AIX-14</x:v>
      </x:c>
      <x:c r="B229" s="10" t="str">
        <x:v>Privacy-aware AI, intelligence and automation</x:v>
      </x:c>
      <x:c r="C229" s="10" t="str">
        <x:v>Human-in-the-loop guardrails</x:v>
      </x:c>
      <x:c r="D229" s="10" t="str">
        <x:v>Require named human approval for AI-triggered file changes, permission actions, policy publication and retention decisions.</x:v>
      </x:c>
      <x:c r="E229" s="10" t="str">
        <x:v>Autonomous agent cannot modify security policy or dispose of records alone.</x:v>
      </x:c>
      <x:c r="F229" s="10" t="str">
        <x:v>An AI suggestion cannot execute privileged action until valid human approval.</x:v>
      </x:c>
      <x:c r="G229" s="10" t="str">
        <x:v>Must</x:v>
      </x:c>
      <x:c r="H229" s="10" t="str">
        <x:v>Core</x:v>
      </x:c>
      <x:c r="I229" s="10" t="str">
        <x:v>Not started</x:v>
      </x:c>
      <x:c r="J229" s="10" t="str"/>
      <x:c r="K229" s="10" t="str"/>
      <x:c r="L229" s="10" t="str"/>
    </x:row>
    <x:row r="230" ht="54" customHeight="1">
      <x:c r="A230" s="10" t="str">
        <x:v>AIX-15</x:v>
      </x:c>
      <x:c r="B230" s="10" t="str">
        <x:v>Privacy-aware AI, intelligence and automation</x:v>
      </x:c>
      <x:c r="C230" s="10" t="str">
        <x:v>Sensitive content redaction before AI</x:v>
      </x:c>
      <x:c r="D230" s="10" t="str">
        <x:v>Offer owner-approved removal of sensitive fields before model processing, with a local preview and provenance record.</x:v>
      </x:c>
      <x:c r="E230" s="10" t="str">
        <x:v>Redaction must remove actual tokens, hidden content and derived metadata.</x:v>
      </x:c>
      <x:c r="F230" s="10" t="str">
        <x:v>AI outbound payload matches approved sanitized preview exactly.</x:v>
      </x:c>
      <x:c r="G230" s="10" t="str">
        <x:v>Should</x:v>
      </x:c>
      <x:c r="H230" s="10" t="str">
        <x:v>Enterprise</x:v>
      </x:c>
      <x:c r="I230" s="10" t="str">
        <x:v>Not started</x:v>
      </x:c>
      <x:c r="J230" s="10" t="str"/>
      <x:c r="K230" s="10" t="str"/>
      <x:c r="L230" s="10" t="str"/>
    </x:row>
    <x:row r="231" ht="54" customHeight="1">
      <x:c r="A231" s="10" t="str">
        <x:v>AIX-16</x:v>
      </x:c>
      <x:c r="B231" s="10" t="str">
        <x:v>Privacy-aware AI, intelligence and automation</x:v>
      </x:c>
      <x:c r="C231" s="10" t="str">
        <x:v>No-training and provider control</x:v>
      </x:c>
      <x:c r="D231" s="10" t="str">
        <x:v>Support enterprise settings for provider retention, regional processing, contractual no-training protections and private/on-prem model options.</x:v>
      </x:c>
      <x:c r="E231" s="10" t="str">
        <x:v>Claims depend on verified provider contracts and telemetry, not a UI checkbox.</x:v>
      </x:c>
      <x:c r="F231" s="10" t="str">
        <x:v>Tenant can export evidence of approved model provider settings and transfers.</x:v>
      </x:c>
      <x:c r="G231" s="10" t="str">
        <x:v>Should</x:v>
      </x:c>
      <x:c r="H231" s="10" t="str">
        <x:v>Enterprise</x:v>
      </x:c>
      <x:c r="I231" s="10" t="str">
        <x:v>Not started</x:v>
      </x:c>
      <x:c r="J231" s="10" t="str"/>
      <x:c r="K231" s="10" t="str"/>
      <x:c r="L231" s="10" t="str"/>
    </x:row>
    <x:row r="232" ht="54" customHeight="1">
      <x:c r="A232" s="10" t="str">
        <x:v>AIX-17</x:v>
      </x:c>
      <x:c r="B232" s="10" t="str">
        <x:v>Privacy-aware AI, intelligence and automation</x:v>
      </x:c>
      <x:c r="C232" s="10" t="str">
        <x:v>AI accuracy and evaluation suite</x:v>
      </x:c>
      <x:c r="D232" s="10" t="str">
        <x:v>Measure grounding, hallucination, privacy leak, language performance and unsafe action rates against curated reference tests.</x:v>
      </x:c>
      <x:c r="E232" s="10" t="str">
        <x:v>Release gates block model changes that regress critical authorization or privacy tests.</x:v>
      </x:c>
      <x:c r="F232" s="10" t="str">
        <x:v>Evaluator demonstrates benchmark results and regression history across 13 locales.</x:v>
      </x:c>
      <x:c r="G232" s="10" t="str">
        <x:v>Should</x:v>
      </x:c>
      <x:c r="H232" s="10" t="str">
        <x:v>Enterprise</x:v>
      </x:c>
      <x:c r="I232" s="10" t="str">
        <x:v>Not started</x:v>
      </x:c>
      <x:c r="J232" s="10" t="str"/>
      <x:c r="K232" s="10" t="str"/>
      <x:c r="L232" s="10" t="str"/>
    </x:row>
    <x:row r="233" ht="54" customHeight="1">
      <x:c r="A233" s="10" t="str">
        <x:v>L10-01</x:v>
      </x:c>
      <x:c r="B233" s="10" t="str">
        <x:v>Internationalization, languages and accessibility</x:v>
      </x:c>
      <x:c r="C233" s="10" t="str">
        <x:v>Thirteen-language interface coverage</x:v>
      </x:c>
      <x:c r="D233" s="10" t="str">
        <x:v>Ship English, Persian, French, Turkish, Russian, Chinese, German, Portuguese, Spanish, Hindi, Japanese, Arabic and Armenian.</x:v>
      </x:c>
      <x:c r="E233" s="10" t="str">
        <x:v>No core workflow, error, permission dialog or critical legal notice may fall back silently without recorded translation coverage.</x:v>
      </x:c>
      <x:c r="F233" s="10" t="str">
        <x:v>Native-language reviewers complete onboarding, upload, approval and recovery flows in all 13 languages.</x:v>
      </x:c>
      <x:c r="G233" s="10" t="str">
        <x:v>Must</x:v>
      </x:c>
      <x:c r="H233" s="10" t="str">
        <x:v>Core</x:v>
      </x:c>
      <x:c r="I233" s="10" t="str">
        <x:v>Not started</x:v>
      </x:c>
      <x:c r="J233" s="10" t="str"/>
      <x:c r="K233" s="10" t="str"/>
      <x:c r="L233" s="10" t="str"/>
    </x:row>
    <x:row r="234" ht="54" customHeight="1">
      <x:c r="A234" s="10" t="str">
        <x:v>L10-02</x:v>
      </x:c>
      <x:c r="B234" s="10" t="str">
        <x:v>Internationalization, languages and accessibility</x:v>
      </x:c>
      <x:c r="C234" s="10" t="str">
        <x:v>Explicit regional locales</x:v>
      </x:c>
      <x:c r="D234" s="10" t="str">
        <x:v>Define en, fa, fr, tr, ru, zh-Hans, de, pt, es, hi, ja, ar and hy baseline locales; design variants such as zh-Hant, pt-BR, es-MX separately.</x:v>
      </x:c>
      <x:c r="E234" s="10" t="str">
        <x:v>Translation pack identity, fallback and legal terminology remain versioned.</x:v>
      </x:c>
      <x:c r="F234" s="10" t="str">
        <x:v>Locale switching persists and selected variant appears correctly across UI and emails.</x:v>
      </x:c>
      <x:c r="G234" s="10" t="str">
        <x:v>Must</x:v>
      </x:c>
      <x:c r="H234" s="10" t="str">
        <x:v>Core</x:v>
      </x:c>
      <x:c r="I234" s="10" t="str">
        <x:v>Not started</x:v>
      </x:c>
      <x:c r="J234" s="10" t="str"/>
      <x:c r="K234" s="10" t="str"/>
      <x:c r="L234" s="10" t="str"/>
    </x:row>
    <x:row r="235" ht="54" customHeight="1">
      <x:c r="A235" s="10" t="str">
        <x:v>L10-03</x:v>
      </x:c>
      <x:c r="B235" s="10" t="str">
        <x:v>Internationalization, languages and accessibility</x:v>
      </x:c>
      <x:c r="C235" s="10" t="str">
        <x:v>Persian RTL layout</x:v>
      </x:c>
      <x:c r="D235" s="10" t="str">
        <x:v>Implement full RTL navigation, forms, dialogs, tables, breadcrumbs and icon mirroring where semantically appropriate.</x:v>
      </x:c>
      <x:c r="E235" s="10" t="str">
        <x:v>Keep file hashes, emails, URLs, codes and numeric identifiers left-to-right within RTL text.</x:v>
      </x:c>
      <x:c r="F235" s="10" t="str">
        <x:v>Persian user completes long document approval on mobile without bidirectional text corruption.</x:v>
      </x:c>
      <x:c r="G235" s="10" t="str">
        <x:v>Must</x:v>
      </x:c>
      <x:c r="H235" s="10" t="str">
        <x:v>Core</x:v>
      </x:c>
      <x:c r="I235" s="10" t="str">
        <x:v>Not started</x:v>
      </x:c>
      <x:c r="J235" s="10" t="str"/>
      <x:c r="K235" s="10" t="str"/>
      <x:c r="L235" s="10" t="str"/>
    </x:row>
    <x:row r="236" ht="54" customHeight="1">
      <x:c r="A236" s="10" t="str">
        <x:v>L10-04</x:v>
      </x:c>
      <x:c r="B236" s="10" t="str">
        <x:v>Internationalization, languages and accessibility</x:v>
      </x:c>
      <x:c r="C236" s="10" t="str">
        <x:v>Arabic RTL layout</x:v>
      </x:c>
      <x:c r="D236" s="10" t="str">
        <x:v>Apply correct Arabic shaping, bidirectional controls and accessible date/number rendering.</x:v>
      </x:c>
      <x:c r="E236" s="10" t="str">
        <x:v>Do not mirror logos, mathematical operators or content that should retain original direction.</x:v>
      </x:c>
      <x:c r="F236" s="10" t="str">
        <x:v>Arabic audit report and permissions matrix remain readable and aligned.</x:v>
      </x:c>
      <x:c r="G236" s="10" t="str">
        <x:v>Must</x:v>
      </x:c>
      <x:c r="H236" s="10" t="str">
        <x:v>Core</x:v>
      </x:c>
      <x:c r="I236" s="10" t="str">
        <x:v>Not started</x:v>
      </x:c>
      <x:c r="J236" s="10" t="str"/>
      <x:c r="K236" s="10" t="str"/>
      <x:c r="L236" s="10" t="str"/>
    </x:row>
    <x:row r="237" ht="54" customHeight="1">
      <x:c r="A237" s="10" t="str">
        <x:v>L10-05</x:v>
      </x:c>
      <x:c r="B237" s="10" t="str">
        <x:v>Internationalization, languages and accessibility</x:v>
      </x:c>
      <x:c r="C237" s="10" t="str">
        <x:v>Unicode and filename handling</x:v>
      </x:c>
      <x:c r="D237" s="10" t="str">
        <x:v>Support Unicode normalization and safe preservation of filenames in Armenian, Cyrillic, Chinese, Devanagari, Japanese and Arabic scripts.</x:v>
      </x:c>
      <x:c r="E237" s="10" t="str">
        <x:v>Reject malicious bidi controls or visually confusable identifiers according to security policy.</x:v>
      </x:c>
      <x:c r="F237" s="10" t="str">
        <x:v>Upload and retrieve filenames in each script with preserved visible meaning.</x:v>
      </x:c>
      <x:c r="G237" s="10" t="str">
        <x:v>Must</x:v>
      </x:c>
      <x:c r="H237" s="10" t="str">
        <x:v>Core</x:v>
      </x:c>
      <x:c r="I237" s="10" t="str">
        <x:v>Not started</x:v>
      </x:c>
      <x:c r="J237" s="10" t="str"/>
      <x:c r="K237" s="10" t="str"/>
      <x:c r="L237" s="10" t="str"/>
    </x:row>
    <x:row r="238" ht="54" customHeight="1">
      <x:c r="A238" s="10" t="str">
        <x:v>L10-06</x:v>
      </x:c>
      <x:c r="B238" s="10" t="str">
        <x:v>Internationalization, languages and accessibility</x:v>
      </x:c>
      <x:c r="C238" s="10" t="str">
        <x:v>Translated system notifications</x:v>
      </x:c>
      <x:c r="D238" s="10" t="str">
        <x:v>Localize invitations, reminders, approval notices, error messages, alerts and recovery instructions per user choice.</x:v>
      </x:c>
      <x:c r="E238" s="10" t="str">
        <x:v>Sensitive templates include approved legal/compliance wording and no plaintext secret leakage.</x:v>
      </x:c>
      <x:c r="F238" s="10" t="str">
        <x:v>User receives consistent language email, app notification and task names.</x:v>
      </x:c>
      <x:c r="G238" s="10" t="str">
        <x:v>Must</x:v>
      </x:c>
      <x:c r="H238" s="10" t="str">
        <x:v>Core</x:v>
      </x:c>
      <x:c r="I238" s="10" t="str">
        <x:v>Not started</x:v>
      </x:c>
      <x:c r="J238" s="10" t="str"/>
      <x:c r="K238" s="10" t="str"/>
      <x:c r="L238" s="10" t="str"/>
    </x:row>
    <x:row r="239" ht="54" customHeight="1">
      <x:c r="A239" s="10" t="str">
        <x:v>L10-07</x:v>
      </x:c>
      <x:c r="B239" s="10" t="str">
        <x:v>Internationalization, languages and accessibility</x:v>
      </x:c>
      <x:c r="C239" s="10" t="str">
        <x:v>Date, number and calendar localization</x:v>
      </x:c>
      <x:c r="D239" s="10" t="str">
        <x:v>Render dates, times, numbers, currency, separators and local holidays according to locale and entity policy.</x:v>
      </x:c>
      <x:c r="E239" s="10" t="str">
        <x:v>Store canonical UTC timestamps and machine-readable ISO dates; do not conflate Persian interface with specific legal calendar.</x:v>
      </x:c>
      <x:c r="F239" s="10" t="str">
        <x:v>Same event has equal UTC identity and correct localized display for two users.</x:v>
      </x:c>
      <x:c r="G239" s="10" t="str">
        <x:v>Must</x:v>
      </x:c>
      <x:c r="H239" s="10" t="str">
        <x:v>Core</x:v>
      </x:c>
      <x:c r="I239" s="10" t="str">
        <x:v>Not started</x:v>
      </x:c>
      <x:c r="J239" s="10" t="str"/>
      <x:c r="K239" s="10" t="str"/>
      <x:c r="L239" s="10" t="str"/>
    </x:row>
    <x:row r="240" ht="54" customHeight="1">
      <x:c r="A240" s="10" t="str">
        <x:v>L10-08</x:v>
      </x:c>
      <x:c r="B240" s="10" t="str">
        <x:v>Internationalization, languages and accessibility</x:v>
      </x:c>
      <x:c r="C240" s="10" t="str">
        <x:v>Localized metadata labels</x:v>
      </x:c>
      <x:c r="D240" s="10" t="str">
        <x:v>Allow tenant admins to translate folder names, categories, custom field labels, workflows, taxonomy terms and help text.</x:v>
      </x:c>
      <x:c r="E240" s="10" t="str">
        <x:v>Underlying identifiers stay language-neutral and permissions are independent of translation.</x:v>
      </x:c>
      <x:c r="F240" s="10" t="str">
        <x:v>Changing a field label in French does not break API filters or workflow conditions.</x:v>
      </x:c>
      <x:c r="G240" s="10" t="str">
        <x:v>Should</x:v>
      </x:c>
      <x:c r="H240" s="10" t="str">
        <x:v>Enterprise</x:v>
      </x:c>
      <x:c r="I240" s="10" t="str">
        <x:v>Not started</x:v>
      </x:c>
      <x:c r="J240" s="10" t="str"/>
      <x:c r="K240" s="10" t="str"/>
      <x:c r="L240" s="10" t="str"/>
    </x:row>
    <x:row r="241" ht="54" customHeight="1">
      <x:c r="A241" s="10" t="str">
        <x:v>L10-09</x:v>
      </x:c>
      <x:c r="B241" s="10" t="str">
        <x:v>Internationalization, languages and accessibility</x:v>
      </x:c>
      <x:c r="C241" s="10" t="str">
        <x:v>Language-specific content versions</x:v>
      </x:c>
      <x:c r="D241" s="10" t="str">
        <x:v>Link translations of knowledge pages and policies with different owners, approval states and effective dates.</x:v>
      </x:c>
      <x:c r="E241" s="10" t="str">
        <x:v>A translated policy is not automatically certified when canonical source changes.</x:v>
      </x:c>
      <x:c r="F241" s="10" t="str">
        <x:v>Stale translation displays warning until reviewed and approved.</x:v>
      </x:c>
      <x:c r="G241" s="10" t="str">
        <x:v>Should</x:v>
      </x:c>
      <x:c r="H241" s="10" t="str">
        <x:v>Enterprise</x:v>
      </x:c>
      <x:c r="I241" s="10" t="str">
        <x:v>Not started</x:v>
      </x:c>
      <x:c r="J241" s="10" t="str"/>
      <x:c r="K241" s="10" t="str"/>
      <x:c r="L241" s="10" t="str"/>
    </x:row>
    <x:row r="242" ht="54" customHeight="1">
      <x:c r="A242" s="10" t="str">
        <x:v>L10-10</x:v>
      </x:c>
      <x:c r="B242" s="10" t="str">
        <x:v>Internationalization, languages and accessibility</x:v>
      </x:c>
      <x:c r="C242" s="10" t="str">
        <x:v>Full text direction testing</x:v>
      </x:c>
      <x:c r="D242" s="10" t="str">
        <x:v>Validate mixed RTL/LTR text, hyperlinks, emails, numbers, audit IDs, password inputs and file paths.</x:v>
      </x:c>
      <x:c r="E242" s="10" t="str">
        <x:v>Escape untrusted directional control chars and prevent spoofed file extensions.</x:v>
      </x:c>
      <x:c r="F242" s="10" t="str">
        <x:v>Bidirectional spoofing regression suite passes on browser and mobile.</x:v>
      </x:c>
      <x:c r="G242" s="10" t="str">
        <x:v>Must</x:v>
      </x:c>
      <x:c r="H242" s="10" t="str">
        <x:v>Core</x:v>
      </x:c>
      <x:c r="I242" s="10" t="str">
        <x:v>Not started</x:v>
      </x:c>
      <x:c r="J242" s="10" t="str"/>
      <x:c r="K242" s="10" t="str"/>
      <x:c r="L242" s="10" t="str"/>
    </x:row>
    <x:row r="243" ht="54" customHeight="1">
      <x:c r="A243" s="10" t="str">
        <x:v>L10-11</x:v>
      </x:c>
      <x:c r="B243" s="10" t="str">
        <x:v>Internationalization, languages and accessibility</x:v>
      </x:c>
      <x:c r="C243" s="10" t="str">
        <x:v>Screen-reader and keyboard access</x:v>
      </x:c>
      <x:c r="D243" s="10" t="str">
        <x:v>Target WCAG 2.2 AA where applicable, with keyboard navigation, labels, visible focus, status feedback and accessible PDFs for exports where feasible.</x:v>
      </x:c>
      <x:c r="E243" s="10" t="str">
        <x:v>Security controls including MFA and CAPTCHA remain usable with assistive technology.</x:v>
      </x:c>
      <x:c r="F243" s="10" t="str">
        <x:v>Core workflows pass manual accessibility review with screen readers.</x:v>
      </x:c>
      <x:c r="G243" s="10" t="str">
        <x:v>Must</x:v>
      </x:c>
      <x:c r="H243" s="10" t="str">
        <x:v>Core</x:v>
      </x:c>
      <x:c r="I243" s="10" t="str">
        <x:v>Not started</x:v>
      </x:c>
      <x:c r="J243" s="10" t="str"/>
      <x:c r="K243" s="10" t="str"/>
      <x:c r="L243" s="10" t="str"/>
    </x:row>
    <x:row r="244" ht="54" customHeight="1">
      <x:c r="A244" s="10" t="str">
        <x:v>L10-12</x:v>
      </x:c>
      <x:c r="B244" s="10" t="str">
        <x:v>Internationalization, languages and accessibility</x:v>
      </x:c>
      <x:c r="C244" s="10" t="str">
        <x:v>Font and script fallback</x:v>
      </x:c>
      <x:c r="D244" s="10" t="str">
        <x:v>Choose broadly available system font stacks and suitable web fonts with licensing and performance review for all scripts.</x:v>
      </x:c>
      <x:c r="E244" s="10" t="str">
        <x:v>Never require downloading hidden font assets from untrusted CDN for a protected workflow.</x:v>
      </x:c>
      <x:c r="F244" s="10" t="str">
        <x:v>Every script remains legible on Windows, macOS, Android and iOS.</x:v>
      </x:c>
      <x:c r="G244" s="10" t="str">
        <x:v>Must</x:v>
      </x:c>
      <x:c r="H244" s="10" t="str">
        <x:v>Core</x:v>
      </x:c>
      <x:c r="I244" s="10" t="str">
        <x:v>Not started</x:v>
      </x:c>
      <x:c r="J244" s="10" t="str"/>
      <x:c r="K244" s="10" t="str"/>
      <x:c r="L244" s="10" t="str"/>
    </x:row>
    <x:row r="245" ht="54" customHeight="1">
      <x:c r="A245" s="10" t="str">
        <x:v>L10-13</x:v>
      </x:c>
      <x:c r="B245" s="10" t="str">
        <x:v>Internationalization, languages and accessibility</x:v>
      </x:c>
      <x:c r="C245" s="10" t="str">
        <x:v>Translation workflow</x:v>
      </x:c>
      <x:c r="D245" s="10" t="str">
        <x:v>Maintain source string catalogs, context notes, translation review, terminology glossary, approval and regression snapshots.</x:v>
      </x:c>
      <x:c r="E245" s="10" t="str">
        <x:v>Unapproved machine translations are not treated as legal-compliance translations.</x:v>
      </x:c>
      <x:c r="F245" s="10" t="str">
        <x:v>Release candidate reports 100% coverage for critical strings and tracked noncritical exceptions.</x:v>
      </x:c>
      <x:c r="G245" s="10" t="str">
        <x:v>Must</x:v>
      </x:c>
      <x:c r="H245" s="10" t="str">
        <x:v>Core</x:v>
      </x:c>
      <x:c r="I245" s="10" t="str">
        <x:v>Not started</x:v>
      </x:c>
      <x:c r="J245" s="10" t="str"/>
      <x:c r="K245" s="10" t="str"/>
      <x:c r="L245" s="10" t="str"/>
    </x:row>
    <x:row r="246" ht="54" customHeight="1">
      <x:c r="A246" s="10" t="str">
        <x:v>L10-14</x:v>
      </x:c>
      <x:c r="B246" s="10" t="str">
        <x:v>Internationalization, languages and accessibility</x:v>
      </x:c>
      <x:c r="C246" s="10" t="str">
        <x:v>Localized search behavior</x:v>
      </x:c>
      <x:c r="D246" s="10" t="str">
        <x:v>Support language-aware sorting, tokenization, transliteration where appropriate and correct casing including Turkish dotted/dotless I.</x:v>
      </x:c>
      <x:c r="E246" s="10" t="str">
        <x:v>Search indexes must preserve tenant and authorization scopes across languages.</x:v>
      </x:c>
      <x:c r="F246" s="10" t="str">
        <x:v>Locale-specific query fixture suite yields correct permitted results.</x:v>
      </x:c>
      <x:c r="G246" s="10" t="str">
        <x:v>Should</x:v>
      </x:c>
      <x:c r="H246" s="10" t="str">
        <x:v>Enterprise</x:v>
      </x:c>
      <x:c r="I246" s="10" t="str">
        <x:v>Not started</x:v>
      </x:c>
      <x:c r="J246" s="10" t="str"/>
      <x:c r="K246" s="10" t="str"/>
      <x:c r="L246" s="10" t="str"/>
    </x:row>
    <x:row r="247" ht="54" customHeight="1">
      <x:c r="A247" s="10" t="str">
        <x:v>L10-15</x:v>
      </x:c>
      <x:c r="B247" s="10" t="str">
        <x:v>Internationalization, languages and accessibility</x:v>
      </x:c>
      <x:c r="C247" s="10" t="str">
        <x:v>Multi-script document production</x:v>
      </x:c>
      <x:c r="D247" s="10" t="str">
        <x:v>Support templates, exported reports and optional PDFs with correct RTL layout, text shaping and mixed-direction values.</x:v>
      </x:c>
      <x:c r="E247" s="10" t="str">
        <x:v>Confidential exports follow mode-specific processing and watermark policies.</x:v>
      </x:c>
      <x:c r="F247" s="10" t="str">
        <x:v>Exported report renders correctly in Persian, Arabic, Armenian and Chinese sample sets.</x:v>
      </x:c>
      <x:c r="G247" s="10" t="str">
        <x:v>Should</x:v>
      </x:c>
      <x:c r="H247" s="10" t="str">
        <x:v>Enterprise</x:v>
      </x:c>
      <x:c r="I247" s="10" t="str">
        <x:v>Not started</x:v>
      </x:c>
      <x:c r="J247" s="10" t="str"/>
      <x:c r="K247" s="10" t="str"/>
      <x:c r="L247" s="10" t="str"/>
    </x:row>
    <x:row r="248" ht="54" customHeight="1">
      <x:c r="A248" s="10" t="str">
        <x:v>API-01</x:v>
      </x:c>
      <x:c r="B248" s="10" t="str">
        <x:v>Integrations, APIs, automation and interoperability</x:v>
      </x:c>
      <x:c r="C248" s="10" t="str">
        <x:v>Versioned REST API</x:v>
      </x:c>
      <x:c r="D248" s="10" t="str">
        <x:v>Publish documented operations for identities, tenants, folders, files, versions, metadata, permissions, workflows and reporting.</x:v>
      </x:c>
      <x:c r="E248" s="10" t="str">
        <x:v>Each endpoint independently authenticates tenant-scoped principals and enforces operation-level authorization.</x:v>
      </x:c>
      <x:c r="F248" s="10" t="str">
        <x:v>OpenAPI contract tests reject malicious cross-tenant IDs across all endpoints.</x:v>
      </x:c>
      <x:c r="G248" s="10" t="str">
        <x:v>Must</x:v>
      </x:c>
      <x:c r="H248" s="10" t="str">
        <x:v>Core</x:v>
      </x:c>
      <x:c r="I248" s="10" t="str">
        <x:v>Not started</x:v>
      </x:c>
      <x:c r="J248" s="10" t="str"/>
      <x:c r="K248" s="10" t="str"/>
      <x:c r="L248" s="10" t="str"/>
    </x:row>
    <x:row r="249" ht="54" customHeight="1">
      <x:c r="A249" s="10" t="str">
        <x:v>API-02</x:v>
      </x:c>
      <x:c r="B249" s="10" t="str">
        <x:v>Integrations, APIs, automation and interoperability</x:v>
      </x:c>
      <x:c r="C249" s="10" t="str">
        <x:v>Webhook subscriptions</x:v>
      </x:c>
      <x:c r="D249" s="10" t="str">
        <x:v>Issue signed event webhooks for lifecycle, approval, user and governance changes with configurable recipient filters.</x:v>
      </x:c>
      <x:c r="E249" s="10" t="str">
        <x:v>Retry delivery safely and never send unapproved sensitive metadata.</x:v>
      </x:c>
      <x:c r="F249" s="10" t="str">
        <x:v>Subscriber verifies signature and handles duplicated event delivery idempotently.</x:v>
      </x:c>
      <x:c r="G249" s="10" t="str">
        <x:v>Should</x:v>
      </x:c>
      <x:c r="H249" s="10" t="str">
        <x:v>Enterprise</x:v>
      </x:c>
      <x:c r="I249" s="10" t="str">
        <x:v>Not started</x:v>
      </x:c>
      <x:c r="J249" s="10" t="str"/>
      <x:c r="K249" s="10" t="str"/>
      <x:c r="L249" s="10" t="str"/>
    </x:row>
    <x:row r="250" ht="54" customHeight="1">
      <x:c r="A250" s="10" t="str">
        <x:v>API-03</x:v>
      </x:c>
      <x:c r="B250" s="10" t="str">
        <x:v>Integrations, APIs, automation and interoperability</x:v>
      </x:c>
      <x:c r="C250" s="10" t="str">
        <x:v>OIDC and SAML integration</x:v>
      </x:c>
      <x:c r="D250" s="10" t="str">
        <x:v>Support federated enterprise authentication and identity mapping with multiple IdPs where justified.</x:v>
      </x:c>
      <x:c r="E250" s="10" t="str">
        <x:v>Validate protocol messages and tenant trust separately from WordPress authentication.</x:v>
      </x:c>
      <x:c r="F250" s="10" t="str">
        <x:v>Authentication via a subsidiary IdP does not grant membership in another subsidiary.</x:v>
      </x:c>
      <x:c r="G250" s="10" t="str">
        <x:v>Must</x:v>
      </x:c>
      <x:c r="H250" s="10" t="str">
        <x:v>Core</x:v>
      </x:c>
      <x:c r="I250" s="10" t="str">
        <x:v>Not started</x:v>
      </x:c>
      <x:c r="J250" s="10" t="str"/>
      <x:c r="K250" s="10" t="str"/>
      <x:c r="L250" s="10" t="str"/>
    </x:row>
    <x:row r="251" ht="54" customHeight="1">
      <x:c r="A251" s="10" t="str">
        <x:v>API-04</x:v>
      </x:c>
      <x:c r="B251" s="10" t="str">
        <x:v>Integrations, APIs, automation and interoperability</x:v>
      </x:c>
      <x:c r="C251" s="10" t="str">
        <x:v>SCIM provisioning</x:v>
      </x:c>
      <x:c r="D251" s="10" t="str">
        <x:v>Synchronize users, groups, membership suspension and role assignment from enterprise identity directories.</x:v>
      </x:c>
      <x:c r="E251" s="10" t="str">
        <x:v>Prevent inbound attribute mappings from creating group super-administrator rights.</x:v>
      </x:c>
      <x:c r="F251" s="10" t="str">
        <x:v>Create, suspend and remove user scenario reconciles without orphan access.</x:v>
      </x:c>
      <x:c r="G251" s="10" t="str">
        <x:v>Should</x:v>
      </x:c>
      <x:c r="H251" s="10" t="str">
        <x:v>Enterprise</x:v>
      </x:c>
      <x:c r="I251" s="10" t="str">
        <x:v>Not started</x:v>
      </x:c>
      <x:c r="J251" s="10" t="str"/>
      <x:c r="K251" s="10" t="str"/>
      <x:c r="L251" s="10" t="str"/>
    </x:row>
    <x:row r="252" ht="54" customHeight="1">
      <x:c r="A252" s="10" t="str">
        <x:v>API-05</x:v>
      </x:c>
      <x:c r="B252" s="10" t="str">
        <x:v>Integrations, APIs, automation and interoperability</x:v>
      </x:c>
      <x:c r="C252" s="10" t="str">
        <x:v>Microsoft 365 integrations</x:v>
      </x:c>
      <x:c r="D252" s="10" t="str">
        <x:v>Integrate permitted Office editing, Outlook document capture, Teams links and SharePoint import/export.</x:v>
      </x:c>
      <x:c r="E252" s="10" t="str">
        <x:v>External editors may be restricted to managed mode; disclose exposure to provider services.</x:v>
      </x:c>
      <x:c r="F252" s="10" t="str">
        <x:v>Integrated session maintains correct tenant and version lineage.</x:v>
      </x:c>
      <x:c r="G252" s="10" t="str">
        <x:v>Should</x:v>
      </x:c>
      <x:c r="H252" s="10" t="str">
        <x:v>Enterprise</x:v>
      </x:c>
      <x:c r="I252" s="10" t="str">
        <x:v>Not started</x:v>
      </x:c>
      <x:c r="J252" s="10" t="str"/>
      <x:c r="K252" s="10" t="str"/>
      <x:c r="L252" s="10" t="str"/>
    </x:row>
    <x:row r="253" ht="54" customHeight="1">
      <x:c r="A253" s="10" t="str">
        <x:v>API-06</x:v>
      </x:c>
      <x:c r="B253" s="10" t="str">
        <x:v>Integrations, APIs, automation and interoperability</x:v>
      </x:c>
      <x:c r="C253" s="10" t="str">
        <x:v>Google Workspace integrations</x:v>
      </x:c>
      <x:c r="D253" s="10" t="str">
        <x:v>Integrate approved Drive import/export, Google identity and optional browser editing for managed documents.</x:v>
      </x:c>
      <x:c r="E253" s="10" t="str">
        <x:v>No automatic copying of zero-knowledge plaintext to outside platforms.</x:v>
      </x:c>
      <x:c r="F253" s="10" t="str">
        <x:v>Admin can connect and disconnect integration with complete token revocation.</x:v>
      </x:c>
      <x:c r="G253" s="10" t="str">
        <x:v>Advanced</x:v>
      </x:c>
      <x:c r="H253" s="10" t="str">
        <x:v>Expansion</x:v>
      </x:c>
      <x:c r="I253" s="10" t="str">
        <x:v>Not started</x:v>
      </x:c>
      <x:c r="J253" s="10" t="str"/>
      <x:c r="K253" s="10" t="str"/>
      <x:c r="L253" s="10" t="str"/>
    </x:row>
    <x:row r="254" ht="54" customHeight="1">
      <x:c r="A254" s="10" t="str">
        <x:v>API-07</x:v>
      </x:c>
      <x:c r="B254" s="10" t="str">
        <x:v>Integrations, APIs, automation and interoperability</x:v>
      </x:c>
      <x:c r="C254" s="10" t="str">
        <x:v>Business platform connectors</x:v>
      </x:c>
      <x:c r="D254" s="10" t="str">
        <x:v>Provide connectors or SDK patterns for SAP, Dynamics, Salesforce, Odoo, ERP, HRIS and procurement platforms.</x:v>
      </x:c>
      <x:c r="E254" s="10" t="str">
        <x:v>Each connector obtains narrow business-object and document permissions.</x:v>
      </x:c>
      <x:c r="F254" s="10" t="str">
        <x:v>A contract linked to approved ERP record has consistent referential and audit history.</x:v>
      </x:c>
      <x:c r="G254" s="10" t="str">
        <x:v>Should</x:v>
      </x:c>
      <x:c r="H254" s="10" t="str">
        <x:v>Enterprise</x:v>
      </x:c>
      <x:c r="I254" s="10" t="str">
        <x:v>Not started</x:v>
      </x:c>
      <x:c r="J254" s="10" t="str"/>
      <x:c r="K254" s="10" t="str"/>
      <x:c r="L254" s="10" t="str"/>
    </x:row>
    <x:row r="255" ht="54" customHeight="1">
      <x:c r="A255" s="10" t="str">
        <x:v>API-08</x:v>
      </x:c>
      <x:c r="B255" s="10" t="str">
        <x:v>Integrations, APIs, automation and interoperability</x:v>
      </x:c>
      <x:c r="C255" s="10" t="str">
        <x:v>Messaging connectors</x:v>
      </x:c>
      <x:c r="D255" s="10" t="str">
        <x:v>Send safe links and workflow notifications to Teams, Slack or similar services with recipient mapping.</x:v>
      </x:c>
      <x:c r="E255" s="10" t="str">
        <x:v>No restricted plaintext in chat messages without configured policy.</x:v>
      </x:c>
      <x:c r="F255" s="10" t="str">
        <x:v>Message recipient cannot use shared link without actual document rights.</x:v>
      </x:c>
      <x:c r="G255" s="10" t="str">
        <x:v>Should</x:v>
      </x:c>
      <x:c r="H255" s="10" t="str">
        <x:v>Enterprise</x:v>
      </x:c>
      <x:c r="I255" s="10" t="str">
        <x:v>Not started</x:v>
      </x:c>
      <x:c r="J255" s="10" t="str"/>
      <x:c r="K255" s="10" t="str"/>
      <x:c r="L255" s="10" t="str"/>
    </x:row>
    <x:row r="256" ht="54" customHeight="1">
      <x:c r="A256" s="10" t="str">
        <x:v>API-09</x:v>
      </x:c>
      <x:c r="B256" s="10" t="str">
        <x:v>Integrations, APIs, automation and interoperability</x:v>
      </x:c>
      <x:c r="C256" s="10" t="str">
        <x:v>Document editor adapters</x:v>
      </x:c>
      <x:c r="D256" s="10" t="str">
        <x:v>Abstract content editors and converters behind evaluated, replaceable connectors with availability and trust checks.</x:v>
      </x:c>
      <x:c r="E256" s="10" t="str">
        <x:v>E2EE content requires trusted compatible editor or explicit secure processing consent.</x:v>
      </x:c>
      <x:c r="F256" s="10" t="str">
        <x:v>Removing a third-party editor does not destroy stored document versions.</x:v>
      </x:c>
      <x:c r="G256" s="10" t="str">
        <x:v>Should</x:v>
      </x:c>
      <x:c r="H256" s="10" t="str">
        <x:v>Enterprise</x:v>
      </x:c>
      <x:c r="I256" s="10" t="str">
        <x:v>Not started</x:v>
      </x:c>
      <x:c r="J256" s="10" t="str"/>
      <x:c r="K256" s="10" t="str"/>
      <x:c r="L256" s="10" t="str"/>
    </x:row>
    <x:row r="257" ht="54" customHeight="1">
      <x:c r="A257" s="10" t="str">
        <x:v>API-10</x:v>
      </x:c>
      <x:c r="B257" s="10" t="str">
        <x:v>Integrations, APIs, automation and interoperability</x:v>
      </x:c>
      <x:c r="C257" s="10" t="str">
        <x:v>Storage adapter abstraction</x:v>
      </x:c>
      <x:c r="D257" s="10" t="str">
        <x:v>Support approved S3-compatible object stores and, optionally, sovereign/on-prem storage backends.</x:v>
      </x:c>
      <x:c r="E257" s="10" t="str">
        <x:v>Adapter cannot return an unverified raw public object URL.</x:v>
      </x:c>
      <x:c r="F257" s="10" t="str">
        <x:v>Object storage swap preserves isolation, integrity and retention semantics.</x:v>
      </x:c>
      <x:c r="G257" s="10" t="str">
        <x:v>Should</x:v>
      </x:c>
      <x:c r="H257" s="10" t="str">
        <x:v>Enterprise</x:v>
      </x:c>
      <x:c r="I257" s="10" t="str">
        <x:v>Not started</x:v>
      </x:c>
      <x:c r="J257" s="10" t="str"/>
      <x:c r="K257" s="10" t="str"/>
      <x:c r="L257" s="10" t="str"/>
    </x:row>
    <x:row r="258" ht="54" customHeight="1">
      <x:c r="A258" s="10" t="str">
        <x:v>API-11</x:v>
      </x:c>
      <x:c r="B258" s="10" t="str">
        <x:v>Integrations, APIs, automation and interoperability</x:v>
      </x:c>
      <x:c r="C258" s="10" t="str">
        <x:v>Enterprise search connectors</x:v>
      </x:c>
      <x:c r="D258" s="10" t="str">
        <x:v>Optionally expose permission-trimmed metadata to approved internal search services with revocation propagation.</x:v>
      </x:c>
      <x:c r="E258" s="10" t="str">
        <x:v>Protected full-text or embeddings cannot be mirrored without mode-compatible processing.</x:v>
      </x:c>
      <x:c r="F258" s="10" t="str">
        <x:v>External search user loses results promptly after rights revocation.</x:v>
      </x:c>
      <x:c r="G258" s="10" t="str">
        <x:v>Advanced</x:v>
      </x:c>
      <x:c r="H258" s="10" t="str">
        <x:v>Expansion</x:v>
      </x:c>
      <x:c r="I258" s="10" t="str">
        <x:v>Not started</x:v>
      </x:c>
      <x:c r="J258" s="10" t="str"/>
      <x:c r="K258" s="10" t="str"/>
      <x:c r="L258" s="10" t="str"/>
    </x:row>
    <x:row r="259" ht="54" customHeight="1">
      <x:c r="A259" s="10" t="str">
        <x:v>API-12</x:v>
      </x:c>
      <x:c r="B259" s="10" t="str">
        <x:v>Integrations, APIs, automation and interoperability</x:v>
      </x:c>
      <x:c r="C259" s="10" t="str">
        <x:v>Event-driven integration bus</x:v>
      </x:c>
      <x:c r="D259" s="10" t="str">
        <x:v>Publish bounded lifecycle events through tenant-aware queues with schema registry, dead-letter and replay support.</x:v>
      </x:c>
      <x:c r="E259" s="10" t="str">
        <x:v>Workload identities and tenant context are checked at each consumer hop.</x:v>
      </x:c>
      <x:c r="F259" s="10" t="str">
        <x:v>Poisoned event is quarantined rather than retried forever.</x:v>
      </x:c>
      <x:c r="G259" s="10" t="str">
        <x:v>Should</x:v>
      </x:c>
      <x:c r="H259" s="10" t="str">
        <x:v>Enterprise</x:v>
      </x:c>
      <x:c r="I259" s="10" t="str">
        <x:v>Not started</x:v>
      </x:c>
      <x:c r="J259" s="10" t="str"/>
      <x:c r="K259" s="10" t="str"/>
      <x:c r="L259" s="10" t="str"/>
    </x:row>
    <x:row r="260" ht="54" customHeight="1">
      <x:c r="A260" s="10" t="str">
        <x:v>API-13</x:v>
      </x:c>
      <x:c r="B260" s="10" t="str">
        <x:v>Integrations, APIs, automation and interoperability</x:v>
      </x:c>
      <x:c r="C260" s="10" t="str">
        <x:v>Import and export formats</x:v>
      </x:c>
      <x:c r="D260" s="10" t="str">
        <x:v>Support JSON/CSV metadata, document packages, signed manifests, and open interoperability mappings such as CMIS where practical.</x:v>
      </x:c>
      <x:c r="E260" s="10" t="str">
        <x:v>Export policy checks must occur before object or metadata serialization.</x:v>
      </x:c>
      <x:c r="F260" s="10" t="str">
        <x:v>Contract-test import/export preserves document version IDs and provenance.</x:v>
      </x:c>
      <x:c r="G260" s="10" t="str">
        <x:v>Should</x:v>
      </x:c>
      <x:c r="H260" s="10" t="str">
        <x:v>Enterprise</x:v>
      </x:c>
      <x:c r="I260" s="10" t="str">
        <x:v>Not started</x:v>
      </x:c>
      <x:c r="J260" s="10" t="str"/>
      <x:c r="K260" s="10" t="str"/>
      <x:c r="L260" s="10" t="str"/>
    </x:row>
    <x:row r="261" ht="54" customHeight="1">
      <x:c r="A261" s="10" t="str">
        <x:v>API-14</x:v>
      </x:c>
      <x:c r="B261" s="10" t="str">
        <x:v>Integrations, APIs, automation and interoperability</x:v>
      </x:c>
      <x:c r="C261" s="10" t="str">
        <x:v>Integration marketplace governance</x:v>
      </x:c>
      <x:c r="D261" s="10" t="str">
        <x:v>Maintain centrally approved connectors with per-tenant enablement, permissions, owner and security posture.</x:v>
      </x:c>
      <x:c r="E261" s="10" t="str">
        <x:v>Connector cannot gain access by installation alone; elevated scopes require approvals.</x:v>
      </x:c>
      <x:c r="F261" s="10" t="str">
        <x:v>Disabling connector revokes access and suspends queued jobs.</x:v>
      </x:c>
      <x:c r="G261" s="10" t="str">
        <x:v>Advanced</x:v>
      </x:c>
      <x:c r="H261" s="10" t="str">
        <x:v>Expansion</x:v>
      </x:c>
      <x:c r="I261" s="10" t="str">
        <x:v>Not started</x:v>
      </x:c>
      <x:c r="J261" s="10" t="str"/>
      <x:c r="K261" s="10" t="str"/>
      <x:c r="L261" s="10" t="str"/>
    </x:row>
    <x:row r="262" ht="54" customHeight="1">
      <x:c r="A262" s="10" t="str">
        <x:v>API-15</x:v>
      </x:c>
      <x:c r="B262" s="10" t="str">
        <x:v>Integrations, APIs, automation and interoperability</x:v>
      </x:c>
      <x:c r="C262" s="10" t="str">
        <x:v>API throttling and metering</x:v>
      </x:c>
      <x:c r="D262" s="10" t="str">
        <x:v>Rate-limit by client, tenant, action, token and sensitivity, with usage dashboards and quotas.</x:v>
      </x:c>
      <x:c r="E262" s="10" t="str">
        <x:v>Throttling must not leak existence of other tenants' workloads.</x:v>
      </x:c>
      <x:c r="F262" s="10" t="str">
        <x:v>Stress test confirms fair tenant isolation under 10x baseline workload.</x:v>
      </x:c>
      <x:c r="G262" s="10" t="str">
        <x:v>Must</x:v>
      </x:c>
      <x:c r="H262" s="10" t="str">
        <x:v>Core</x:v>
      </x:c>
      <x:c r="I262" s="10" t="str">
        <x:v>Not started</x:v>
      </x:c>
      <x:c r="J262" s="10" t="str"/>
      <x:c r="K262" s="10" t="str"/>
      <x:c r="L262" s="10" t="str"/>
    </x:row>
    <x:row r="263" ht="54" customHeight="1">
      <x:c r="A263" s="10" t="str">
        <x:v>API-16</x:v>
      </x:c>
      <x:c r="B263" s="10" t="str">
        <x:v>Integrations, APIs, automation and interoperability</x:v>
      </x:c>
      <x:c r="C263" s="10" t="str">
        <x:v>Developer sandbox and test identities</x:v>
      </x:c>
      <x:c r="D263" s="10" t="str">
        <x:v>Provide separate nonproduction test tenants, sample data, test webhooks and deterministic API fixtures.</x:v>
      </x:c>
      <x:c r="E263" s="10" t="str">
        <x:v>Sandbox credentials and objects never reach production key domains.</x:v>
      </x:c>
      <x:c r="F263" s="10" t="str">
        <x:v>Integration can be validated end-to-end without production user documents.</x:v>
      </x:c>
      <x:c r="G263" s="10" t="str">
        <x:v>Should</x:v>
      </x:c>
      <x:c r="H263" s="10" t="str">
        <x:v>Enterprise</x:v>
      </x:c>
      <x:c r="I263" s="10" t="str">
        <x:v>Not started</x:v>
      </x:c>
      <x:c r="J263" s="10" t="str"/>
      <x:c r="K263" s="10" t="str"/>
      <x:c r="L263" s="10" t="str"/>
    </x:row>
    <x:row r="264" ht="54" customHeight="1">
      <x:c r="A264" s="10" t="str">
        <x:v>API-17</x:v>
      </x:c>
      <x:c r="B264" s="10" t="str">
        <x:v>Integrations, APIs, automation and interoperability</x:v>
      </x:c>
      <x:c r="C264" s="10" t="str">
        <x:v>WordPress bridge API</x:v>
      </x:c>
      <x:c r="D264" s="10" t="str">
        <x:v>Use the plugin for navigational integration, approved settings and deep links to the secure service, not for passing plaintext secrets.</x:v>
      </x:c>
      <x:c r="E264" s="10" t="str">
        <x:v>No WordPress role, nonce or session alone authorizes repository access; no broad KMS grants to PHP.</x:v>
      </x:c>
      <x:c r="F264" s="10" t="str">
        <x:v>Attack simulation with WordPress admin privileges cannot call protected decrypt endpoints.</x:v>
      </x:c>
      <x:c r="G264" s="10" t="str">
        <x:v>Must</x:v>
      </x:c>
      <x:c r="H264" s="10" t="str">
        <x:v>Core</x:v>
      </x:c>
      <x:c r="I264" s="10" t="str">
        <x:v>Not started</x:v>
      </x:c>
      <x:c r="J264" s="10" t="str"/>
      <x:c r="K264" s="10" t="str"/>
      <x:c r="L264" s="10" t="str"/>
    </x:row>
    <x:row r="265" ht="54" customHeight="1">
      <x:c r="A265" s="10" t="str">
        <x:v>UX-01</x:v>
      </x:c>
      <x:c r="B265" s="10" t="str">
        <x:v>Experience, productivity and configurable workspaces</x:v>
      </x:c>
      <x:c r="C265" s="10" t="str">
        <x:v>Role-specific dashboard</x:v>
      </x:c>
      <x:c r="D265" s="10" t="str">
        <x:v>Provide distinct home views for holding operator, entity admin, contributor, reviewer, legal custodian and auditor.</x:v>
      </x:c>
      <x:c r="E265" s="10" t="str">
        <x:v>Tiles reflect real entitlements, not visibility-only frontend filters.</x:v>
      </x:c>
      <x:c r="F265" s="10" t="str">
        <x:v>A user role switch changes dashboard without altering backend rights.</x:v>
      </x:c>
      <x:c r="G265" s="10" t="str">
        <x:v>Must</x:v>
      </x:c>
      <x:c r="H265" s="10" t="str">
        <x:v>Core</x:v>
      </x:c>
      <x:c r="I265" s="10" t="str">
        <x:v>Not started</x:v>
      </x:c>
      <x:c r="J265" s="10" t="str"/>
      <x:c r="K265" s="10" t="str"/>
      <x:c r="L265" s="10" t="str"/>
    </x:row>
    <x:row r="266" ht="54" customHeight="1">
      <x:c r="A266" s="10" t="str">
        <x:v>UX-02</x:v>
      </x:c>
      <x:c r="B266" s="10" t="str">
        <x:v>Experience, productivity and configurable workspaces</x:v>
      </x:c>
      <x:c r="C266" s="10" t="str">
        <x:v>Tenant-branded workspace</x:v>
      </x:c>
      <x:c r="D266" s="10" t="str">
        <x:v>Customize each subsidiary logo, approved color palette, terminology, homepage and help contacts.</x:v>
      </x:c>
      <x:c r="E266" s="10" t="str">
        <x:v>Brand configuration cannot inject scripts or defeat accessible contrast.</x:v>
      </x:c>
      <x:c r="F266" s="10" t="str">
        <x:v>Two subsidiaries display distinct safe identities from one deployment.</x:v>
      </x:c>
      <x:c r="G266" s="10" t="str">
        <x:v>Should</x:v>
      </x:c>
      <x:c r="H266" s="10" t="str">
        <x:v>Enterprise</x:v>
      </x:c>
      <x:c r="I266" s="10" t="str">
        <x:v>Not started</x:v>
      </x:c>
      <x:c r="J266" s="10" t="str"/>
      <x:c r="K266" s="10" t="str"/>
      <x:c r="L266" s="10" t="str"/>
    </x:row>
    <x:row r="267" ht="54" customHeight="1">
      <x:c r="A267" s="10" t="str">
        <x:v>UX-03</x:v>
      </x:c>
      <x:c r="B267" s="10" t="str">
        <x:v>Experience, productivity and configurable workspaces</x:v>
      </x:c>
      <x:c r="C267" s="10" t="str">
        <x:v>Responsive file explorer</x:v>
      </x:c>
      <x:c r="D267" s="10" t="str">
        <x:v>Support breadcrumbs, hierarchy tree, previews, filters, sorting, favorites, quick actions and keyboard interactions.</x:v>
      </x:c>
      <x:c r="E267" s="10" t="str">
        <x:v>Directory listing excludes unauthorized files, counts and hidden folder suggestions.</x:v>
      </x:c>
      <x:c r="F267" s="10" t="str">
        <x:v>Explorer works on mobile and keyboard without accidental cross-tenant context.</x:v>
      </x:c>
      <x:c r="G267" s="10" t="str">
        <x:v>Must</x:v>
      </x:c>
      <x:c r="H267" s="10" t="str">
        <x:v>Core</x:v>
      </x:c>
      <x:c r="I267" s="10" t="str">
        <x:v>Not started</x:v>
      </x:c>
      <x:c r="J267" s="10" t="str"/>
      <x:c r="K267" s="10" t="str"/>
      <x:c r="L267" s="10" t="str"/>
    </x:row>
    <x:row r="268" ht="54" customHeight="1">
      <x:c r="A268" s="10" t="str">
        <x:v>UX-04</x:v>
      </x:c>
      <x:c r="B268" s="10" t="str">
        <x:v>Experience, productivity and configurable workspaces</x:v>
      </x:c>
      <x:c r="C268" s="10" t="str">
        <x:v>Unified task and notification center</x:v>
      </x:c>
      <x:c r="D268" s="10" t="str">
        <x:v>Show approvals, access requests, policy attestations, mentions, subscriptions and security notices.</x:v>
      </x:c>
      <x:c r="E268" s="10" t="str">
        <x:v>Notification details undergo rights checks both when created and when viewed.</x:v>
      </x:c>
      <x:c r="F268" s="10" t="str">
        <x:v>Revoked document generates only safe stale-notification placeholder.</x:v>
      </x:c>
      <x:c r="G268" s="10" t="str">
        <x:v>Must</x:v>
      </x:c>
      <x:c r="H268" s="10" t="str">
        <x:v>Core</x:v>
      </x:c>
      <x:c r="I268" s="10" t="str">
        <x:v>Not started</x:v>
      </x:c>
      <x:c r="J268" s="10" t="str"/>
      <x:c r="K268" s="10" t="str"/>
      <x:c r="L268" s="10" t="str"/>
    </x:row>
    <x:row r="269" ht="54" customHeight="1">
      <x:c r="A269" s="10" t="str">
        <x:v>UX-05</x:v>
      </x:c>
      <x:c r="B269" s="10" t="str">
        <x:v>Experience, productivity and configurable workspaces</x:v>
      </x:c>
      <x:c r="C269" s="10" t="str">
        <x:v>Custom dashboard widgets</x:v>
      </x:c>
      <x:c r="D269" s="10" t="str">
        <x:v>Let admins arrange approved widgets, KPIs, announcements and smart collections by role or department.</x:v>
      </x:c>
      <x:c r="E269" s="10" t="str">
        <x:v>Widget definitions cannot bypass the governed reporting layer.</x:v>
      </x:c>
      <x:c r="F269" s="10" t="str">
        <x:v>Unauthorized user does not see metadata via a custom widget.</x:v>
      </x:c>
      <x:c r="G269" s="10" t="str">
        <x:v>Should</x:v>
      </x:c>
      <x:c r="H269" s="10" t="str">
        <x:v>Enterprise</x:v>
      </x:c>
      <x:c r="I269" s="10" t="str">
        <x:v>Not started</x:v>
      </x:c>
      <x:c r="J269" s="10" t="str"/>
      <x:c r="K269" s="10" t="str"/>
      <x:c r="L269" s="10" t="str"/>
    </x:row>
    <x:row r="270" ht="54" customHeight="1">
      <x:c r="A270" s="10" t="str">
        <x:v>UX-06</x:v>
      </x:c>
      <x:c r="B270" s="10" t="str">
        <x:v>Experience, productivity and configurable workspaces</x:v>
      </x:c>
      <x:c r="C270" s="10" t="str">
        <x:v>Advanced table and bulk actions</x:v>
      </x:c>
      <x:c r="D270" s="10" t="str">
        <x:v>Provide accessible filtering, column configuration, multi-select and permitted batch operations with dry-run summaries.</x:v>
      </x:c>
      <x:c r="E270" s="10" t="str">
        <x:v>Every item in batch has its own authorization and retention evaluation.</x:v>
      </x:c>
      <x:c r="F270" s="10" t="str">
        <x:v>Batch action reports partial failures without modifying blocked records.</x:v>
      </x:c>
      <x:c r="G270" s="10" t="str">
        <x:v>Should</x:v>
      </x:c>
      <x:c r="H270" s="10" t="str">
        <x:v>Enterprise</x:v>
      </x:c>
      <x:c r="I270" s="10" t="str">
        <x:v>Not started</x:v>
      </x:c>
      <x:c r="J270" s="10" t="str"/>
      <x:c r="K270" s="10" t="str"/>
      <x:c r="L270" s="10" t="str"/>
    </x:row>
    <x:row r="271" ht="54" customHeight="1">
      <x:c r="A271" s="10" t="str">
        <x:v>UX-07</x:v>
      </x:c>
      <x:c r="B271" s="10" t="str">
        <x:v>Experience, productivity and configurable workspaces</x:v>
      </x:c>
      <x:c r="C271" s="10" t="str">
        <x:v>Contextual permissions explanation</x:v>
      </x:c>
      <x:c r="D271" s="10" t="str">
        <x:v>Show owners and users why a document is visible, restricted, downloadable or subject to a hold, at an appropriate disclosure level.</x:v>
      </x:c>
      <x:c r="E271" s="10" t="str">
        <x:v>Denial messages must not reveal hidden document existence or another user's attributes.</x:v>
      </x:c>
      <x:c r="F271" s="10" t="str">
        <x:v>Access manager can diagnose effective rights from same rule engine as API.</x:v>
      </x:c>
      <x:c r="G271" s="10" t="str">
        <x:v>Should</x:v>
      </x:c>
      <x:c r="H271" s="10" t="str">
        <x:v>Enterprise</x:v>
      </x:c>
      <x:c r="I271" s="10" t="str">
        <x:v>Not started</x:v>
      </x:c>
      <x:c r="J271" s="10" t="str"/>
      <x:c r="K271" s="10" t="str"/>
      <x:c r="L271" s="10" t="str"/>
    </x:row>
    <x:row r="272" ht="54" customHeight="1">
      <x:c r="A272" s="10" t="str">
        <x:v>UX-08</x:v>
      </x:c>
      <x:c r="B272" s="10" t="str">
        <x:v>Experience, productivity and configurable workspaces</x:v>
      </x:c>
      <x:c r="C272" s="10" t="str">
        <x:v>Universal command and quick navigation</x:v>
      </x:c>
      <x:c r="D272" s="10" t="str">
        <x:v>Provide shortcut search across permitted pages, documents, people, actions and workflow tasks.</x:v>
      </x:c>
      <x:c r="E272" s="10" t="str">
        <x:v>Autocomplete trims private suggestions before rendering.</x:v>
      </x:c>
      <x:c r="F272" s="10" t="str">
        <x:v>Command palette never displays another tenant's projects.</x:v>
      </x:c>
      <x:c r="G272" s="10" t="str">
        <x:v>Should</x:v>
      </x:c>
      <x:c r="H272" s="10" t="str">
        <x:v>Enterprise</x:v>
      </x:c>
      <x:c r="I272" s="10" t="str">
        <x:v>Not started</x:v>
      </x:c>
      <x:c r="J272" s="10" t="str"/>
      <x:c r="K272" s="10" t="str"/>
      <x:c r="L272" s="10" t="str"/>
    </x:row>
    <x:row r="273" ht="54" customHeight="1">
      <x:c r="A273" s="10" t="str">
        <x:v>UX-09</x:v>
      </x:c>
      <x:c r="B273" s="10" t="str">
        <x:v>Experience, productivity and configurable workspaces</x:v>
      </x:c>
      <x:c r="C273" s="10" t="str">
        <x:v>Accessible notification preferences</x:v>
      </x:c>
      <x:c r="D273" s="10" t="str">
        <x:v>Allow per-user digest frequency, channels, quiet hours, locale and security-alert exceptions.</x:v>
      </x:c>
      <x:c r="E273" s="10" t="str">
        <x:v>Mandatory incident/security notices cannot be silently disabled where policy requires.</x:v>
      </x:c>
      <x:c r="F273" s="10" t="str">
        <x:v>User opts out of weekly digest while still receiving critical account alert.</x:v>
      </x:c>
      <x:c r="G273" s="10" t="str">
        <x:v>Should</x:v>
      </x:c>
      <x:c r="H273" s="10" t="str">
        <x:v>Enterprise</x:v>
      </x:c>
      <x:c r="I273" s="10" t="str">
        <x:v>Not started</x:v>
      </x:c>
      <x:c r="J273" s="10" t="str"/>
      <x:c r="K273" s="10" t="str"/>
      <x:c r="L273" s="10" t="str"/>
    </x:row>
    <x:row r="274" ht="54" customHeight="1">
      <x:c r="A274" s="10" t="str">
        <x:v>UX-10</x:v>
      </x:c>
      <x:c r="B274" s="10" t="str">
        <x:v>Experience, productivity and configurable workspaces</x:v>
      </x:c>
      <x:c r="C274" s="10" t="str">
        <x:v>Inline help and interactive onboarding</x:v>
      </x:c>
      <x:c r="D274" s="10" t="str">
        <x:v>Provide localized first-run tours, help center, tooltips and troubleshooting linked to exact feature permissions.</x:v>
      </x:c>
      <x:c r="E274" s="10" t="str">
        <x:v>Help examples use synthetic data and never log secret inputs.</x:v>
      </x:c>
      <x:c r="F274" s="10" t="str">
        <x:v>New admin can complete 10-tenant setup guide using localized content.</x:v>
      </x:c>
      <x:c r="G274" s="10" t="str">
        <x:v>Should</x:v>
      </x:c>
      <x:c r="H274" s="10" t="str">
        <x:v>Enterprise</x:v>
      </x:c>
      <x:c r="I274" s="10" t="str">
        <x:v>Not started</x:v>
      </x:c>
      <x:c r="J274" s="10" t="str"/>
      <x:c r="K274" s="10" t="str"/>
      <x:c r="L274" s="10" t="str"/>
    </x:row>
    <x:row r="275" ht="54" customHeight="1">
      <x:c r="A275" s="10" t="str">
        <x:v>UX-11</x:v>
      </x:c>
      <x:c r="B275" s="10" t="str">
        <x:v>Experience, productivity and configurable workspaces</x:v>
      </x:c>
      <x:c r="C275" s="10" t="str">
        <x:v>Personalized saved workspaces</x:v>
      </x:c>
      <x:c r="D275" s="10" t="str">
        <x:v>Let users save filters, favorite documents, custom boards and secure links to recurring tasks.</x:v>
      </x:c>
      <x:c r="E275" s="10" t="str">
        <x:v>Saved layouts never serve previously accessible confidential data from stale cache.</x:v>
      </x:c>
      <x:c r="F275" s="10" t="str">
        <x:v>After revocation, favorites remain hidden or restricted without title leakage.</x:v>
      </x:c>
      <x:c r="G275" s="10" t="str">
        <x:v>Should</x:v>
      </x:c>
      <x:c r="H275" s="10" t="str">
        <x:v>Enterprise</x:v>
      </x:c>
      <x:c r="I275" s="10" t="str">
        <x:v>Not started</x:v>
      </x:c>
      <x:c r="J275" s="10" t="str"/>
      <x:c r="K275" s="10" t="str"/>
      <x:c r="L275" s="10" t="str"/>
    </x:row>
    <x:row r="276" ht="54" customHeight="1">
      <x:c r="A276" s="10" t="str">
        <x:v>UX-12</x:v>
      </x:c>
      <x:c r="B276" s="10" t="str">
        <x:v>Experience, productivity and configurable workspaces</x:v>
      </x:c>
      <x:c r="C276" s="10" t="str">
        <x:v>Keyboard shortcuts and efficiency</x:v>
      </x:c>
      <x:c r="D276" s="10" t="str">
        <x:v>Support multi-key shortcuts, rapid assignment, drag-and-drop and controlled actions for expert users.</x:v>
      </x:c>
      <x:c r="E276" s="10" t="str">
        <x:v>Shortcut activations always invoke same authorization validation as visible buttons.</x:v>
      </x:c>
      <x:c r="F276" s="10" t="str">
        <x:v>User cannot trigger restricted action via keyboard path.</x:v>
      </x:c>
      <x:c r="G276" s="10" t="str">
        <x:v>Advanced</x:v>
      </x:c>
      <x:c r="H276" s="10" t="str">
        <x:v>Expansion</x:v>
      </x:c>
      <x:c r="I276" s="10" t="str">
        <x:v>Not started</x:v>
      </x:c>
      <x:c r="J276" s="10" t="str"/>
      <x:c r="K276" s="10" t="str"/>
      <x:c r="L276" s="10" t="str"/>
    </x:row>
    <x:row r="277" ht="54" customHeight="1">
      <x:c r="A277" s="10" t="str">
        <x:v>UX-13</x:v>
      </x:c>
      <x:c r="B277" s="10" t="str">
        <x:v>Experience, productivity and configurable workspaces</x:v>
      </x:c>
      <x:c r="C277" s="10" t="str">
        <x:v>Guided error handling</x:v>
      </x:c>
      <x:c r="D277" s="10" t="str">
        <x:v>Provide actionable recovery messages for key mismatch, upload interruption, policy conflict, expired links and offline states.</x:v>
      </x:c>
      <x:c r="E277" s="10" t="str">
        <x:v>Error details are sanitized and never expose database, key service or secret information.</x:v>
      </x:c>
      <x:c r="F277" s="10" t="str">
        <x:v>Errors link to appropriate remediation without disclosing confidential identifiers.</x:v>
      </x:c>
      <x:c r="G277" s="10" t="str">
        <x:v>Must</x:v>
      </x:c>
      <x:c r="H277" s="10" t="str">
        <x:v>Core</x:v>
      </x:c>
      <x:c r="I277" s="10" t="str">
        <x:v>Not started</x:v>
      </x:c>
      <x:c r="J277" s="10" t="str"/>
      <x:c r="K277" s="10" t="str"/>
      <x:c r="L277" s="10" t="str"/>
    </x:row>
    <x:row r="278" ht="54" customHeight="1">
      <x:c r="A278" s="10" t="str">
        <x:v>MOB-01</x:v>
      </x:c>
      <x:c r="B278" s="10" t="str">
        <x:v>Mobile, desktop, offline and endpoint experience</x:v>
      </x:c>
      <x:c r="C278" s="10" t="str">
        <x:v>Mobile-responsive secure web application</x:v>
      </x:c>
      <x:c r="D278" s="10" t="str">
        <x:v>Offer usable reading, search, uploads, approvals and knowledge browsing on modern mobile browsers.</x:v>
      </x:c>
      <x:c r="E278" s="10" t="str">
        <x:v>Sensitive cryptography uses independently trusted document client where required.</x:v>
      </x:c>
      <x:c r="F278" s="10" t="str">
        <x:v>Core scenario suite passes iOS Safari and Android Chrome.</x:v>
      </x:c>
      <x:c r="G278" s="10" t="str">
        <x:v>Must</x:v>
      </x:c>
      <x:c r="H278" s="10" t="str">
        <x:v>Core</x:v>
      </x:c>
      <x:c r="I278" s="10" t="str">
        <x:v>Not started</x:v>
      </x:c>
      <x:c r="J278" s="10" t="str"/>
      <x:c r="K278" s="10" t="str"/>
      <x:c r="L278" s="10" t="str"/>
    </x:row>
    <x:row r="279" ht="54" customHeight="1">
      <x:c r="A279" s="10" t="str">
        <x:v>MOB-02</x:v>
      </x:c>
      <x:c r="B279" s="10" t="str">
        <x:v>Mobile, desktop, offline and endpoint experience</x:v>
      </x:c>
      <x:c r="C279" s="10" t="str">
        <x:v>Dedicated trusted desktop client</x:v>
      </x:c>
      <x:c r="D279" s="10" t="str">
        <x:v>Provide signed desktop application with secure storage, zero-knowledge key handling and optional filesystem integration.</x:v>
      </x:c>
      <x:c r="E279" s="10" t="str">
        <x:v>Update mechanism verifies signatures and origin; no plugin-delivered executable replacement without validation.</x:v>
      </x:c>
      <x:c r="F279" s="10" t="str">
        <x:v>Tampered installer/update is rejected and event recorded.</x:v>
      </x:c>
      <x:c r="G279" s="10" t="str">
        <x:v>Should</x:v>
      </x:c>
      <x:c r="H279" s="10" t="str">
        <x:v>Enterprise</x:v>
      </x:c>
      <x:c r="I279" s="10" t="str">
        <x:v>Not started</x:v>
      </x:c>
      <x:c r="J279" s="10" t="str"/>
      <x:c r="K279" s="10" t="str"/>
      <x:c r="L279" s="10" t="str"/>
    </x:row>
    <x:row r="280" ht="54" customHeight="1">
      <x:c r="A280" s="10" t="str">
        <x:v>MOB-03</x:v>
      </x:c>
      <x:c r="B280" s="10" t="str">
        <x:v>Mobile, desktop, offline and endpoint experience</x:v>
      </x:c>
      <x:c r="C280" s="10" t="str">
        <x:v>Native mobile applications</x:v>
      </x:c>
      <x:c r="D280" s="10" t="str">
        <x:v>Provide iOS and Android apps with OS keystore use, biometrics as local unlock and enterprise device-management hooks.</x:v>
      </x:c>
      <x:c r="E280" s="10" t="str">
        <x:v>Biometric unlock supplements valid identity and token policy; keys remain protected by device platform.</x:v>
      </x:c>
      <x:c r="F280" s="10" t="str">
        <x:v>Device loss revokes refresh tokens and prevents subsequent sync.</x:v>
      </x:c>
      <x:c r="G280" s="10" t="str">
        <x:v>Should</x:v>
      </x:c>
      <x:c r="H280" s="10" t="str">
        <x:v>Enterprise</x:v>
      </x:c>
      <x:c r="I280" s="10" t="str">
        <x:v>Not started</x:v>
      </x:c>
      <x:c r="J280" s="10" t="str"/>
      <x:c r="K280" s="10" t="str"/>
      <x:c r="L280" s="10" t="str"/>
    </x:row>
    <x:row r="281" ht="54" customHeight="1">
      <x:c r="A281" s="10" t="str">
        <x:v>MOB-04</x:v>
      </x:c>
      <x:c r="B281" s="10" t="str">
        <x:v>Mobile, desktop, offline and endpoint experience</x:v>
      </x:c>
      <x:c r="C281" s="10" t="str">
        <x:v>Secure offline access</x:v>
      </x:c>
      <x:c r="D281" s="10" t="str">
        <x:v>Allow policy-selected local encrypted copies, expiry and reauthentication windows with user-readable storage indicator.</x:v>
      </x:c>
      <x:c r="E281" s="10" t="str">
        <x:v>Offline right cannot be retroactively withdrawn from copied plaintext, so use classification restrictions.</x:v>
      </x:c>
      <x:c r="F281" s="10" t="str">
        <x:v>Offline document remains encrypted at rest and inaccessible beyond configured client unlock policy.</x:v>
      </x:c>
      <x:c r="G281" s="10" t="str">
        <x:v>Should</x:v>
      </x:c>
      <x:c r="H281" s="10" t="str">
        <x:v>Enterprise</x:v>
      </x:c>
      <x:c r="I281" s="10" t="str">
        <x:v>Not started</x:v>
      </x:c>
      <x:c r="J281" s="10" t="str"/>
      <x:c r="K281" s="10" t="str"/>
      <x:c r="L281" s="10" t="str"/>
    </x:row>
    <x:row r="282" ht="54" customHeight="1">
      <x:c r="A282" s="10" t="str">
        <x:v>MOB-05</x:v>
      </x:c>
      <x:c r="B282" s="10" t="str">
        <x:v>Mobile, desktop, offline and endpoint experience</x:v>
      </x:c>
      <x:c r="C282" s="10" t="str">
        <x:v>Selective sync and pinning</x:v>
      </x:c>
      <x:c r="D282" s="10" t="str">
        <x:v>Sync only approved folders/documents selected by user or admin, with conflict rules and bandwidth controls.</x:v>
      </x:c>
      <x:c r="E282" s="10" t="str">
        <x:v>Rights must be reevaluated at online sync and rejected files purged as possible.</x:v>
      </x:c>
      <x:c r="F282" s="10" t="str">
        <x:v>Deactivated user cannot obtain new material after reconnect.</x:v>
      </x:c>
      <x:c r="G282" s="10" t="str">
        <x:v>Should</x:v>
      </x:c>
      <x:c r="H282" s="10" t="str">
        <x:v>Enterprise</x:v>
      </x:c>
      <x:c r="I282" s="10" t="str">
        <x:v>Not started</x:v>
      </x:c>
      <x:c r="J282" s="10" t="str"/>
      <x:c r="K282" s="10" t="str"/>
      <x:c r="L282" s="10" t="str"/>
    </x:row>
    <x:row r="283" ht="54" customHeight="1">
      <x:c r="A283" s="10" t="str">
        <x:v>MOB-06</x:v>
      </x:c>
      <x:c r="B283" s="10" t="str">
        <x:v>Mobile, desktop, offline and endpoint experience</x:v>
      </x:c>
      <x:c r="C283" s="10" t="str">
        <x:v>Remote session revocation</x:v>
      </x:c>
      <x:c r="D283" s="10" t="str">
        <x:v>Permit device-session revocation, selective cache wipe on reconnect and lost-device recovery workflows.</x:v>
      </x:c>
      <x:c r="E283" s="10" t="str">
        <x:v>Remote wipe is best effort and cannot erase unmanaged offline copies with certainty.</x:v>
      </x:c>
      <x:c r="F283" s="10" t="str">
        <x:v>Revoked client removes eligible cached content once device reconnects.</x:v>
      </x:c>
      <x:c r="G283" s="10" t="str">
        <x:v>Must</x:v>
      </x:c>
      <x:c r="H283" s="10" t="str">
        <x:v>Core</x:v>
      </x:c>
      <x:c r="I283" s="10" t="str">
        <x:v>Not started</x:v>
      </x:c>
      <x:c r="J283" s="10" t="str"/>
      <x:c r="K283" s="10" t="str"/>
      <x:c r="L283" s="10" t="str"/>
    </x:row>
    <x:row r="284" ht="54" customHeight="1">
      <x:c r="A284" s="10" t="str">
        <x:v>MOB-07</x:v>
      </x:c>
      <x:c r="B284" s="10" t="str">
        <x:v>Mobile, desktop, offline and endpoint experience</x:v>
      </x:c>
      <x:c r="C284" s="10" t="str">
        <x:v>Mobile document capture</x:v>
      </x:c>
      <x:c r="D284" s="10" t="str">
        <x:v>Support camera scanning, crop, rotation, multi-page merge and secure upload from approved device.</x:v>
      </x:c>
      <x:c r="E284" s="10" t="str">
        <x:v>Image EXIF/geolocation stripping and client-side encryption obey tenant policy.</x:v>
      </x:c>
      <x:c r="F284" s="10" t="str">
        <x:v>Captured confidential scan uploads encrypted without appearing in public photo gallery.</x:v>
      </x:c>
      <x:c r="G284" s="10" t="str">
        <x:v>Should</x:v>
      </x:c>
      <x:c r="H284" s="10" t="str">
        <x:v>Enterprise</x:v>
      </x:c>
      <x:c r="I284" s="10" t="str">
        <x:v>Not started</x:v>
      </x:c>
      <x:c r="J284" s="10" t="str"/>
      <x:c r="K284" s="10" t="str"/>
      <x:c r="L284" s="10" t="str"/>
    </x:row>
    <x:row r="285" ht="54" customHeight="1">
      <x:c r="A285" s="10" t="str">
        <x:v>MOB-08</x:v>
      </x:c>
      <x:c r="B285" s="10" t="str">
        <x:v>Mobile, desktop, offline and endpoint experience</x:v>
      </x:c>
      <x:c r="C285" s="10" t="str">
        <x:v>Push notifications</x:v>
      </x:c>
      <x:c r="D285" s="10" t="str">
        <x:v>Send safe actionable notices for tasks and approvals without leaking content to push provider payloads.</x:v>
      </x:c>
      <x:c r="E285" s="10" t="str">
        <x:v>No private document titles in lock-screen pushes for restrictive classes.</x:v>
      </x:c>
      <x:c r="F285" s="10" t="str">
        <x:v>Notification can open the app only after session revalidation.</x:v>
      </x:c>
      <x:c r="G285" s="10" t="str">
        <x:v>Should</x:v>
      </x:c>
      <x:c r="H285" s="10" t="str">
        <x:v>Enterprise</x:v>
      </x:c>
      <x:c r="I285" s="10" t="str">
        <x:v>Not started</x:v>
      </x:c>
      <x:c r="J285" s="10" t="str"/>
      <x:c r="K285" s="10" t="str"/>
      <x:c r="L285" s="10" t="str"/>
    </x:row>
    <x:row r="286" ht="54" customHeight="1">
      <x:c r="A286" s="10" t="str">
        <x:v>MOB-09</x:v>
      </x:c>
      <x:c r="B286" s="10" t="str">
        <x:v>Mobile, desktop, offline and endpoint experience</x:v>
      </x:c>
      <x:c r="C286" s="10" t="str">
        <x:v>Desktop productivity integrations</x:v>
      </x:c>
      <x:c r="D286" s="10" t="str">
        <x:v>Add optional safe drag-and-drop from Office, open/save integration and contextual upload with classification prompts.</x:v>
      </x:c>
      <x:c r="E286" s="10" t="str">
        <x:v>External file handlers are explicitly evaluated against zero-knowledge policy.</x:v>
      </x:c>
      <x:c r="F286" s="10" t="str">
        <x:v>Edited file imports as new version rather than silently overwriting master.</x:v>
      </x:c>
      <x:c r="G286" s="10" t="str">
        <x:v>Advanced</x:v>
      </x:c>
      <x:c r="H286" s="10" t="str">
        <x:v>Expansion</x:v>
      </x:c>
      <x:c r="I286" s="10" t="str">
        <x:v>Not started</x:v>
      </x:c>
      <x:c r="J286" s="10" t="str"/>
      <x:c r="K286" s="10" t="str"/>
      <x:c r="L286" s="10" t="str"/>
    </x:row>
    <x:row r="287" ht="54" customHeight="1">
      <x:c r="A287" s="10" t="str">
        <x:v>MOB-10</x:v>
      </x:c>
      <x:c r="B287" s="10" t="str">
        <x:v>Mobile, desktop, offline and endpoint experience</x:v>
      </x:c>
      <x:c r="C287" s="10" t="str">
        <x:v>Certificate and device enrollment</x:v>
      </x:c>
      <x:c r="D287" s="10" t="str">
        <x:v>Manage endpoint trust enrollment, key fingerprints and compromised-device recovery for zero-knowledge clients.</x:v>
      </x:c>
      <x:c r="E287" s="10" t="str">
        <x:v>Malicious server cannot authorize an undetected new recipient device under strict policy.</x:v>
      </x:c>
      <x:c r="F287" s="10" t="str">
        <x:v>Unauthorized device enrollment alerts owner and does not receive past keys.</x:v>
      </x:c>
      <x:c r="G287" s="10" t="str">
        <x:v>Must</x:v>
      </x:c>
      <x:c r="H287" s="10" t="str">
        <x:v>Core</x:v>
      </x:c>
      <x:c r="I287" s="10" t="str">
        <x:v>Not started</x:v>
      </x:c>
      <x:c r="J287" s="10" t="str"/>
      <x:c r="K287" s="10" t="str"/>
      <x:c r="L287" s="10" t="str"/>
    </x:row>
    <x:row r="288" ht="54" customHeight="1">
      <x:c r="A288" s="10" t="str">
        <x:v>MOB-11</x:v>
      </x:c>
      <x:c r="B288" s="10" t="str">
        <x:v>Mobile, desktop, offline and endpoint experience</x:v>
      </x:c>
      <x:c r="C288" s="10" t="str">
        <x:v>Low-bandwidth modes</x:v>
      </x:c>
      <x:c r="D288" s="10" t="str">
        <x:v>Support pagination, progressive thumbnails, resumable transfer and constrained mobile usage.</x:v>
      </x:c>
      <x:c r="E288" s="10" t="str">
        <x:v>Reduced bandwidth cannot skip verification, malware policies or encryption checks.</x:v>
      </x:c>
      <x:c r="F288" s="10" t="str">
        <x:v>Representative 3G profile can navigate and resume encrypted transfers.</x:v>
      </x:c>
      <x:c r="G288" s="10" t="str">
        <x:v>Should</x:v>
      </x:c>
      <x:c r="H288" s="10" t="str">
        <x:v>Enterprise</x:v>
      </x:c>
      <x:c r="I288" s="10" t="str">
        <x:v>Not started</x:v>
      </x:c>
      <x:c r="J288" s="10" t="str"/>
      <x:c r="K288" s="10" t="str"/>
      <x:c r="L288" s="10" t="str"/>
    </x:row>
    <x:row r="289" ht="54" customHeight="1">
      <x:c r="A289" s="10" t="str">
        <x:v>MOB-12</x:v>
      </x:c>
      <x:c r="B289" s="10" t="str">
        <x:v>Mobile, desktop, offline and endpoint experience</x:v>
      </x:c>
      <x:c r="C289" s="10" t="str">
        <x:v>Mobile accessibility and language coverage</x:v>
      </x:c>
      <x:c r="D289" s="10" t="str">
        <x:v>Validate screen readers, 13 languages, dynamic font sizes, Arabic/Persian RTL and touch targets on mobile.</x:v>
      </x:c>
      <x:c r="E289" s="10" t="str">
        <x:v>Security dialogs must remain accessible and legible with large text.</x:v>
      </x:c>
      <x:c r="F289" s="10" t="str">
        <x:v>All required workflows pass mobile localization and accessibility checklists.</x:v>
      </x:c>
      <x:c r="G289" s="10" t="str">
        <x:v>Must</x:v>
      </x:c>
      <x:c r="H289" s="10" t="str">
        <x:v>Core</x:v>
      </x:c>
      <x:c r="I289" s="10" t="str">
        <x:v>Not started</x:v>
      </x:c>
      <x:c r="J289" s="10" t="str"/>
      <x:c r="K289" s="10" t="str"/>
      <x:c r="L289" s="10" t="str"/>
    </x:row>
    <x:row r="290" ht="54" customHeight="1">
      <x:c r="A290" s="10" t="str">
        <x:v>PRV-01</x:v>
      </x:c>
      <x:c r="B290" s="10" t="str">
        <x:v>Privacy, compliance, residency and lawful processing</x:v>
      </x:c>
      <x:c r="C290" s="10" t="str">
        <x:v>Privacy by design defaults</x:v>
      </x:c>
      <x:c r="D290" s="10" t="str">
        <x:v>Minimize personal data collected and default to restricted visibility, limited retention and no unapproved public sharing.</x:v>
      </x:c>
      <x:c r="E290" s="10" t="str">
        <x:v>Privacy impact review is mandatory for new analytics, AI and connector features.</x:v>
      </x:c>
      <x:c r="F290" s="10" t="str">
        <x:v>New subsidiary starts without unnecessary profile fields or default public access.</x:v>
      </x:c>
      <x:c r="G290" s="10" t="str">
        <x:v>Must</x:v>
      </x:c>
      <x:c r="H290" s="10" t="str">
        <x:v>Core</x:v>
      </x:c>
      <x:c r="I290" s="10" t="str">
        <x:v>Not started</x:v>
      </x:c>
      <x:c r="J290" s="10" t="str"/>
      <x:c r="K290" s="10" t="str"/>
      <x:c r="L290" s="10" t="str"/>
    </x:row>
    <x:row r="291" ht="54" customHeight="1">
      <x:c r="A291" s="10" t="str">
        <x:v>PRV-02</x:v>
      </x:c>
      <x:c r="B291" s="10" t="str">
        <x:v>Privacy, compliance, residency and lawful processing</x:v>
      </x:c>
      <x:c r="C291" s="10" t="str">
        <x:v>Data processing inventory</x:v>
      </x:c>
      <x:c r="D291" s="10" t="str">
        <x:v>Track data categories, legal purposes, controllers/processors, recipients, processing locations and associated systems per subsidiary.</x:v>
      </x:c>
      <x:c r="E291" s="10" t="str">
        <x:v>Internal privacy inventories require access controls and audit.</x:v>
      </x:c>
      <x:c r="F291" s="10" t="str">
        <x:v>Privacy officer exports current processing record with responsible parties.</x:v>
      </x:c>
      <x:c r="G291" s="10" t="str">
        <x:v>Should</x:v>
      </x:c>
      <x:c r="H291" s="10" t="str">
        <x:v>Enterprise</x:v>
      </x:c>
      <x:c r="I291" s="10" t="str">
        <x:v>Not started</x:v>
      </x:c>
      <x:c r="J291" s="10" t="str"/>
      <x:c r="K291" s="10" t="str"/>
      <x:c r="L291" s="10" t="str"/>
    </x:row>
    <x:row r="292" ht="54" customHeight="1">
      <x:c r="A292" s="10" t="str">
        <x:v>PRV-03</x:v>
      </x:c>
      <x:c r="B292" s="10" t="str">
        <x:v>Privacy, compliance, residency and lawful processing</x:v>
      </x:c>
      <x:c r="C292" s="10" t="str">
        <x:v>Jurisdiction-specific policy profiles</x:v>
      </x:c>
      <x:c r="D292" s="10" t="str">
        <x:v>Maintain configurable controls for applicable jurisdictions, industries and document categories with legal-owner signoff.</x:v>
      </x:c>
      <x:c r="E292" s="10" t="str">
        <x:v>Do not claim universal GDPR/HIPAA/ISO compliance solely from enabling presets.</x:v>
      </x:c>
      <x:c r="F292" s="10" t="str">
        <x:v>Tenant applies an approved profile and receives exceptions requiring legal review.</x:v>
      </x:c>
      <x:c r="G292" s="10" t="str">
        <x:v>Should</x:v>
      </x:c>
      <x:c r="H292" s="10" t="str">
        <x:v>Enterprise</x:v>
      </x:c>
      <x:c r="I292" s="10" t="str">
        <x:v>Not started</x:v>
      </x:c>
      <x:c r="J292" s="10" t="str"/>
      <x:c r="K292" s="10" t="str"/>
      <x:c r="L292" s="10" t="str"/>
    </x:row>
    <x:row r="293" ht="54" customHeight="1">
      <x:c r="A293" s="10" t="str">
        <x:v>PRV-04</x:v>
      </x:c>
      <x:c r="B293" s="10" t="str">
        <x:v>Privacy, compliance, residency and lawful processing</x:v>
      </x:c>
      <x:c r="C293" s="10" t="str">
        <x:v>Subject-access and portability requests</x:v>
      </x:c>
      <x:c r="D293" s="10" t="str">
        <x:v>Manage privacy requests for access, correction, restriction, portability and erasure with accountable workflows and deadlines.</x:v>
      </x:c>
      <x:c r="E293" s="10" t="str">
        <x:v>Identity verification and third-party redaction are required before release.</x:v>
      </x:c>
      <x:c r="F293" s="10" t="str">
        <x:v>Request package contains lawful information while masking other individuals' records.</x:v>
      </x:c>
      <x:c r="G293" s="10" t="str">
        <x:v>Should</x:v>
      </x:c>
      <x:c r="H293" s="10" t="str">
        <x:v>Enterprise</x:v>
      </x:c>
      <x:c r="I293" s="10" t="str">
        <x:v>Not started</x:v>
      </x:c>
      <x:c r="J293" s="10" t="str"/>
      <x:c r="K293" s="10" t="str"/>
      <x:c r="L293" s="10" t="str"/>
    </x:row>
    <x:row r="294" ht="54" customHeight="1">
      <x:c r="A294" s="10" t="str">
        <x:v>PRV-05</x:v>
      </x:c>
      <x:c r="B294" s="10" t="str">
        <x:v>Privacy, compliance, residency and lawful processing</x:v>
      </x:c>
      <x:c r="C294" s="10" t="str">
        <x:v>Privacy-preserving analytics</x:v>
      </x:c>
      <x:c r="D294" s="10" t="str">
        <x:v>Minimize identifiers, aggregate where feasible and retain behavioral logs no longer than approved purposes.</x:v>
      </x:c>
      <x:c r="E294" s="10" t="str">
        <x:v>Suppress small groups and offer documented lawful basis and opt-outs where applicable.</x:v>
      </x:c>
      <x:c r="F294" s="10" t="str">
        <x:v>Analytics export does not expose identifiable private behavior beyond approved role.</x:v>
      </x:c>
      <x:c r="G294" s="10" t="str">
        <x:v>Should</x:v>
      </x:c>
      <x:c r="H294" s="10" t="str">
        <x:v>Enterprise</x:v>
      </x:c>
      <x:c r="I294" s="10" t="str">
        <x:v>Not started</x:v>
      </x:c>
      <x:c r="J294" s="10" t="str"/>
      <x:c r="K294" s="10" t="str"/>
      <x:c r="L294" s="10" t="str"/>
    </x:row>
    <x:row r="295" ht="54" customHeight="1">
      <x:c r="A295" s="10" t="str">
        <x:v>PRV-06</x:v>
      </x:c>
      <x:c r="B295" s="10" t="str">
        <x:v>Privacy, compliance, residency and lawful processing</x:v>
      </x:c>
      <x:c r="C295" s="10" t="str">
        <x:v>Consent and notices</x:v>
      </x:c>
      <x:c r="D295" s="10" t="str">
        <x:v>Record relevant notices, appropriate consent or other lawful basis, versions and withdrawal handling where required.</x:v>
      </x:c>
      <x:c r="E295" s="10" t="str">
        <x:v>Avoid treating consent as legal basis for employee data by default.</x:v>
      </x:c>
      <x:c r="F295" s="10" t="str">
        <x:v>Notice history is tied to user and tenant with effective dates.</x:v>
      </x:c>
      <x:c r="G295" s="10" t="str">
        <x:v>Should</x:v>
      </x:c>
      <x:c r="H295" s="10" t="str">
        <x:v>Enterprise</x:v>
      </x:c>
      <x:c r="I295" s="10" t="str">
        <x:v>Not started</x:v>
      </x:c>
      <x:c r="J295" s="10" t="str"/>
      <x:c r="K295" s="10" t="str"/>
      <x:c r="L295" s="10" t="str"/>
    </x:row>
    <x:row r="296" ht="54" customHeight="1">
      <x:c r="A296" s="10" t="str">
        <x:v>PRV-07</x:v>
      </x:c>
      <x:c r="B296" s="10" t="str">
        <x:v>Privacy, compliance, residency and lawful processing</x:v>
      </x:c>
      <x:c r="C296" s="10" t="str">
        <x:v>Data residency verification</x:v>
      </x:c>
      <x:c r="D296" s="10" t="str">
        <x:v>Produce inventory of object, database, backup, search, logs and AI transfer locations against each subsidiary's policy.</x:v>
      </x:c>
      <x:c r="E296" s="10" t="str">
        <x:v>Unapproved transfers block workflow and raise alert, including failover and vendor telemetry.</x:v>
      </x:c>
      <x:c r="F296" s="10" t="str">
        <x:v>Data-location report detects test misconfigured backup region.</x:v>
      </x:c>
      <x:c r="G296" s="10" t="str">
        <x:v>Must</x:v>
      </x:c>
      <x:c r="H296" s="10" t="str">
        <x:v>Core</x:v>
      </x:c>
      <x:c r="I296" s="10" t="str">
        <x:v>Not started</x:v>
      </x:c>
      <x:c r="J296" s="10" t="str"/>
      <x:c r="K296" s="10" t="str"/>
      <x:c r="L296" s="10" t="str"/>
    </x:row>
    <x:row r="297" ht="54" customHeight="1">
      <x:c r="A297" s="10" t="str">
        <x:v>PRV-08</x:v>
      </x:c>
      <x:c r="B297" s="10" t="str">
        <x:v>Privacy, compliance, residency and lawful processing</x:v>
      </x:c>
      <x:c r="C297" s="10" t="str">
        <x:v>Subprocessor and vendor controls</x:v>
      </x:c>
      <x:c r="D297" s="10" t="str">
        <x:v>Record approved processors, risk assessments, data-processing agreements, vendor categories and expiry.</x:v>
      </x:c>
      <x:c r="E297" s="10" t="str">
        <x:v>Tokenized integrations cannot access content until tenant approves destination and purpose.</x:v>
      </x:c>
      <x:c r="F297" s="10" t="str">
        <x:v>Disabling approved vendor blocks new outbound processing and invokes offboarding checklist.</x:v>
      </x:c>
      <x:c r="G297" s="10" t="str">
        <x:v>Should</x:v>
      </x:c>
      <x:c r="H297" s="10" t="str">
        <x:v>Enterprise</x:v>
      </x:c>
      <x:c r="I297" s="10" t="str">
        <x:v>Not started</x:v>
      </x:c>
      <x:c r="J297" s="10" t="str"/>
      <x:c r="K297" s="10" t="str"/>
      <x:c r="L297" s="10" t="str"/>
    </x:row>
    <x:row r="298" ht="54" customHeight="1">
      <x:c r="A298" s="10" t="str">
        <x:v>PRV-09</x:v>
      </x:c>
      <x:c r="B298" s="10" t="str">
        <x:v>Privacy, compliance, residency and lawful processing</x:v>
      </x:c>
      <x:c r="C298" s="10" t="str">
        <x:v>Retention-versus-erasure resolution</x:v>
      </x:c>
      <x:c r="D298" s="10" t="str">
        <x:v>Provide a transparent precedence engine for subject erasure, records retention, litigation hold and contractual obligations.</x:v>
      </x:c>
      <x:c r="E298" s="10" t="str">
        <x:v>Legal exceptions require accountable review and case notes.</x:v>
      </x:c>
      <x:c r="F298" s="10" t="str">
        <x:v>Held record is preserved while eligible personal metadata is removed from other systems.</x:v>
      </x:c>
      <x:c r="G298" s="10" t="str">
        <x:v>Must</x:v>
      </x:c>
      <x:c r="H298" s="10" t="str">
        <x:v>Core</x:v>
      </x:c>
      <x:c r="I298" s="10" t="str">
        <x:v>Not started</x:v>
      </x:c>
      <x:c r="J298" s="10" t="str"/>
      <x:c r="K298" s="10" t="str"/>
      <x:c r="L298" s="10" t="str"/>
    </x:row>
    <x:row r="299" ht="54" customHeight="1">
      <x:c r="A299" s="10" t="str">
        <x:v>PRV-10</x:v>
      </x:c>
      <x:c r="B299" s="10" t="str">
        <x:v>Privacy, compliance, residency and lawful processing</x:v>
      </x:c>
      <x:c r="C299" s="10" t="str">
        <x:v>Data classification and impact assessments</x:v>
      </x:c>
      <x:c r="D299" s="10" t="str">
        <x:v>Maintain risk/impact assessments for new features, sensitive processing and automated decisions.</x:v>
      </x:c>
      <x:c r="E299" s="10" t="str">
        <x:v>Assess threat model, retention, user impact and safeguards before launch.</x:v>
      </x:c>
      <x:c r="F299" s="10" t="str">
        <x:v>New AI provider cannot be enabled until an authorized assessment is approved.</x:v>
      </x:c>
      <x:c r="G299" s="10" t="str">
        <x:v>Should</x:v>
      </x:c>
      <x:c r="H299" s="10" t="str">
        <x:v>Enterprise</x:v>
      </x:c>
      <x:c r="I299" s="10" t="str">
        <x:v>Not started</x:v>
      </x:c>
      <x:c r="J299" s="10" t="str"/>
      <x:c r="K299" s="10" t="str"/>
      <x:c r="L299" s="10" t="str"/>
    </x:row>
    <x:row r="300" ht="54" customHeight="1">
      <x:c r="A300" s="10" t="str">
        <x:v>PRV-11</x:v>
      </x:c>
      <x:c r="B300" s="10" t="str">
        <x:v>Privacy, compliance, residency and lawful processing</x:v>
      </x:c>
      <x:c r="C300" s="10" t="str">
        <x:v>Accessibility and inclusion governance</x:v>
      </x:c>
      <x:c r="D300" s="10" t="str">
        <x:v>Maintain accessibility conformance tracking, localization QA and accommodation request processes.</x:v>
      </x:c>
      <x:c r="E300" s="10" t="str">
        <x:v>Critical security features must not exclude users who rely on assistive technology.</x:v>
      </x:c>
      <x:c r="F300" s="10" t="str">
        <x:v>Accessibility issues have severity, owner, reproducible test and release gate.</x:v>
      </x:c>
      <x:c r="G300" s="10" t="str">
        <x:v>Should</x:v>
      </x:c>
      <x:c r="H300" s="10" t="str">
        <x:v>Enterprise</x:v>
      </x:c>
      <x:c r="I300" s="10" t="str">
        <x:v>Not started</x:v>
      </x:c>
      <x:c r="J300" s="10" t="str"/>
      <x:c r="K300" s="10" t="str"/>
      <x:c r="L300" s="10" t="str"/>
    </x:row>
    <x:row r="301" ht="54" customHeight="1">
      <x:c r="A301" s="10" t="str">
        <x:v>PRV-12</x:v>
      </x:c>
      <x:c r="B301" s="10" t="str">
        <x:v>Privacy, compliance, residency and lawful processing</x:v>
      </x:c>
      <x:c r="C301" s="10" t="str">
        <x:v>Records of administrator instructions</x:v>
      </x:c>
      <x:c r="D301" s="10" t="str">
        <x:v>Log group-level privacy/security instructions and tenant decisions, including delegated modifications.</x:v>
      </x:c>
      <x:c r="E301" s="10" t="str">
        <x:v>Holdings cannot issue invisible instructions that silently reduce tenant secrecy.</x:v>
      </x:c>
      <x:c r="F301" s="10" t="str">
        <x:v>Auditor reconstructs policy instruction version and consenting entity.</x:v>
      </x:c>
      <x:c r="G301" s="10" t="str">
        <x:v>Should</x:v>
      </x:c>
      <x:c r="H301" s="10" t="str">
        <x:v>Enterprise</x:v>
      </x:c>
      <x:c r="I301" s="10" t="str">
        <x:v>Not started</x:v>
      </x:c>
      <x:c r="J301" s="10" t="str"/>
      <x:c r="K301" s="10" t="str"/>
      <x:c r="L301" s="10" t="str"/>
    </x:row>
    <x:row r="302" ht="54" customHeight="1">
      <x:c r="A302" s="10" t="str">
        <x:v>PRV-13</x:v>
      </x:c>
      <x:c r="B302" s="10" t="str">
        <x:v>Privacy, compliance, residency and lawful processing</x:v>
      </x:c>
      <x:c r="C302" s="10" t="str">
        <x:v>Document sovereignty and portability</x:v>
      </x:c>
      <x:c r="D302" s="10" t="str">
        <x:v>Provide reversible export of owned documents/metadata and clear deletion/decommission procedures for cloud or on-prem deployment.</x:v>
      </x:c>
      <x:c r="E302" s="10" t="str">
        <x:v>Export respects each subsidiary's ownership, holds and cryptographic trust.</x:v>
      </x:c>
      <x:c r="F302" s="10" t="str">
        <x:v>Controlled exit drill migrates sample tenant without data loss or external user exposure.</x:v>
      </x:c>
      <x:c r="G302" s="10" t="str">
        <x:v>Should</x:v>
      </x:c>
      <x:c r="H302" s="10" t="str">
        <x:v>Enterprise</x:v>
      </x:c>
      <x:c r="I302" s="10" t="str">
        <x:v>Not started</x:v>
      </x:c>
      <x:c r="J302" s="10" t="str"/>
      <x:c r="K302" s="10" t="str"/>
      <x:c r="L302" s="10" t="str"/>
    </x:row>
    <x:row r="303" ht="54" customHeight="1">
      <x:c r="A303" s="10" t="str">
        <x:v>PRV-14</x:v>
      </x:c>
      <x:c r="B303" s="10" t="str">
        <x:v>Privacy, compliance, residency and lawful processing</x:v>
      </x:c>
      <x:c r="C303" s="10" t="str">
        <x:v>Data breach readiness</x:v>
      </x:c>
      <x:c r="D303" s="10" t="str">
        <x:v>Maintain contact trees, incident clocks, forensic evidence, breach assessment forms and regulator/customer notification workflows.</x:v>
      </x:c>
      <x:c r="E303" s="10" t="str">
        <x:v>Legal obligation varies by jurisdiction and requires expert determination.</x:v>
      </x:c>
      <x:c r="F303" s="10" t="str">
        <x:v>Tabletop breach drill yields time-stamped decision and notification package.</x:v>
      </x:c>
      <x:c r="G303" s="10" t="str">
        <x:v>Must</x:v>
      </x:c>
      <x:c r="H303" s="10" t="str">
        <x:v>Core</x:v>
      </x:c>
      <x:c r="I303" s="10" t="str">
        <x:v>Not started</x:v>
      </x:c>
      <x:c r="J303" s="10" t="str"/>
      <x:c r="K303" s="10" t="str"/>
      <x:c r="L303" s="10" t="str"/>
    </x:row>
    <x:row r="304" ht="54" customHeight="1">
      <x:c r="A304" s="10" t="str">
        <x:v>OPS-01</x:v>
      </x:c>
      <x:c r="B304" s="10" t="str">
        <x:v>Reliability, deployment, operations and quality engineering</x:v>
      </x:c>
      <x:c r="C304" s="10" t="str">
        <x:v>Independent secure service deployment</x:v>
      </x:c>
      <x:c r="D304" s="10" t="str">
        <x:v>Separate WordPress plugin, trusted clients, identity, API, authorization, encryption, storage and audit into bounded deployable components.</x:v>
      </x:c>
      <x:c r="E304" s="10" t="str">
        <x:v>WordPress has no direct database superuser, root key, universal decrypted file endpoint or audit-delete right.</x:v>
      </x:c>
      <x:c r="F304" s="10" t="str">
        <x:v>WordPress full-compromise drill cannot read zero-knowledge ciphertext or alter independent audit history.</x:v>
      </x:c>
      <x:c r="G304" s="10" t="str">
        <x:v>Must</x:v>
      </x:c>
      <x:c r="H304" s="10" t="str">
        <x:v>Core</x:v>
      </x:c>
      <x:c r="I304" s="10" t="str">
        <x:v>Not started</x:v>
      </x:c>
      <x:c r="J304" s="10" t="str"/>
      <x:c r="K304" s="10" t="str"/>
      <x:c r="L304" s="10" t="str"/>
    </x:row>
    <x:row r="305" ht="54" customHeight="1">
      <x:c r="A305" s="10" t="str">
        <x:v>OPS-02</x:v>
      </x:c>
      <x:c r="B305" s="10" t="str">
        <x:v>Reliability, deployment, operations and quality engineering</x:v>
      </x:c>
      <x:c r="C305" s="10" t="str">
        <x:v>Tenant-aware database architecture</x:v>
      </x:c>
      <x:c r="D305" s="10" t="str">
        <x:v>Use documented tenant IDs, tenant-enforced queries, migration framework and optional database/schema separation by risk tier.</x:v>
      </x:c>
      <x:c r="E305" s="10" t="str">
        <x:v>Database row-level security and service-side checks are defense-in-depth, not substitutes.</x:v>
      </x:c>
      <x:c r="F305" s="10" t="str">
        <x:v>Automated attempts to alter tenant IDs fail across reads, writes and joins.</x:v>
      </x:c>
      <x:c r="G305" s="10" t="str">
        <x:v>Must</x:v>
      </x:c>
      <x:c r="H305" s="10" t="str">
        <x:v>Core</x:v>
      </x:c>
      <x:c r="I305" s="10" t="str">
        <x:v>Not started</x:v>
      </x:c>
      <x:c r="J305" s="10" t="str"/>
      <x:c r="K305" s="10" t="str"/>
      <x:c r="L305" s="10" t="str"/>
    </x:row>
    <x:row r="306" ht="54" customHeight="1">
      <x:c r="A306" s="10" t="str">
        <x:v>OPS-03</x:v>
      </x:c>
      <x:c r="B306" s="10" t="str">
        <x:v>Reliability, deployment, operations and quality engineering</x:v>
      </x:c>
      <x:c r="C306" s="10" t="str">
        <x:v>Object-store durability</x:v>
      </x:c>
      <x:c r="D306" s="10" t="str">
        <x:v>Store versioned, encrypted objects with verified consistency, checksums, lifecycle rules and policy-based immutability.</x:v>
      </x:c>
      <x:c r="E306" s="10" t="str">
        <x:v>Object access credentials are least privilege and short lived; key separation is mandatory.</x:v>
      </x:c>
      <x:c r="F306" s="10" t="str">
        <x:v>Corrupted object produces alert and recoverable restoration path.</x:v>
      </x:c>
      <x:c r="G306" s="10" t="str">
        <x:v>Must</x:v>
      </x:c>
      <x:c r="H306" s="10" t="str">
        <x:v>Core</x:v>
      </x:c>
      <x:c r="I306" s="10" t="str">
        <x:v>Not started</x:v>
      </x:c>
      <x:c r="J306" s="10" t="str"/>
      <x:c r="K306" s="10" t="str"/>
      <x:c r="L306" s="10" t="str"/>
    </x:row>
    <x:row r="307" ht="54" customHeight="1">
      <x:c r="A307" s="10" t="str">
        <x:v>OPS-04</x:v>
      </x:c>
      <x:c r="B307" s="10" t="str">
        <x:v>Reliability, deployment, operations and quality engineering</x:v>
      </x:c>
      <x:c r="C307" s="10" t="str">
        <x:v>Availability service-level objectives</x:v>
      </x:c>
      <x:c r="D307" s="10" t="str">
        <x:v>Set proposed monthly availability objective, e.g. 99.9% for core reads, with exclusions and monitored error budgets.</x:v>
      </x:c>
      <x:c r="E307" s="10" t="str">
        <x:v>Mode-specific key service dependencies are included; do not claim guaranteed uptime without tests and contracts.</x:v>
      </x:c>
      <x:c r="F307" s="10" t="str">
        <x:v>SLO dashboard reconciles true error rate and outage events.</x:v>
      </x:c>
      <x:c r="G307" s="10" t="str">
        <x:v>Should</x:v>
      </x:c>
      <x:c r="H307" s="10" t="str">
        <x:v>Enterprise</x:v>
      </x:c>
      <x:c r="I307" s="10" t="str">
        <x:v>Not started</x:v>
      </x:c>
      <x:c r="J307" s="10" t="str"/>
      <x:c r="K307" s="10" t="str"/>
      <x:c r="L307" s="10" t="str"/>
    </x:row>
    <x:row r="308" ht="54" customHeight="1">
      <x:c r="A308" s="10" t="str">
        <x:v>OPS-05</x:v>
      </x:c>
      <x:c r="B308" s="10" t="str">
        <x:v>Reliability, deployment, operations and quality engineering</x:v>
      </x:c>
      <x:c r="C308" s="10" t="str">
        <x:v>Recovery time and point objectives</x:v>
      </x:c>
      <x:c r="D308" s="10" t="str">
        <x:v>Set proposed RPO 15 minutes and RTO 4 hours for initial enterprise tier, subject to design and test.</x:v>
      </x:c>
      <x:c r="E308" s="10" t="str">
        <x:v>Targets vary by storage tier, legal holds, key availability and offline client state.</x:v>
      </x:c>
      <x:c r="F308" s="10" t="str">
        <x:v>Disaster recovery exercise demonstrates measured recovery within agreed targets.</x:v>
      </x:c>
      <x:c r="G308" s="10" t="str">
        <x:v>Should</x:v>
      </x:c>
      <x:c r="H308" s="10" t="str">
        <x:v>Enterprise</x:v>
      </x:c>
      <x:c r="I308" s="10" t="str">
        <x:v>Not started</x:v>
      </x:c>
      <x:c r="J308" s="10" t="str"/>
      <x:c r="K308" s="10" t="str"/>
      <x:c r="L308" s="10" t="str"/>
    </x:row>
    <x:row r="309" ht="54" customHeight="1">
      <x:c r="A309" s="10" t="str">
        <x:v>OPS-06</x:v>
      </x:c>
      <x:c r="B309" s="10" t="str">
        <x:v>Reliability, deployment, operations and quality engineering</x:v>
      </x:c>
      <x:c r="C309" s="10" t="str">
        <x:v>Encrypted backup strategy</x:v>
      </x:c>
      <x:c r="D309" s="10" t="str">
        <x:v>Backup metadata, encrypted objects, configurations, key recovery material and independent audit logs under separate credentials.</x:v>
      </x:c>
      <x:c r="E309" s="10" t="str">
        <x:v>Backups cannot be deleted by compromised application accounts; recoverability is tested.</x:v>
      </x:c>
      <x:c r="F309" s="10" t="str">
        <x:v>Random restored backup yields correct versions and authorizations in isolated environment.</x:v>
      </x:c>
      <x:c r="G309" s="10" t="str">
        <x:v>Must</x:v>
      </x:c>
      <x:c r="H309" s="10" t="str">
        <x:v>Core</x:v>
      </x:c>
      <x:c r="I309" s="10" t="str">
        <x:v>Not started</x:v>
      </x:c>
      <x:c r="J309" s="10" t="str"/>
      <x:c r="K309" s="10" t="str"/>
      <x:c r="L309" s="10" t="str"/>
    </x:row>
    <x:row r="310" ht="54" customHeight="1">
      <x:c r="A310" s="10" t="str">
        <x:v>OPS-07</x:v>
      </x:c>
      <x:c r="B310" s="10" t="str">
        <x:v>Reliability, deployment, operations and quality engineering</x:v>
      </x:c>
      <x:c r="C310" s="10" t="str">
        <x:v>Immutable and offline backups</x:v>
      </x:c>
      <x:c r="D310" s="10" t="str">
        <x:v>Maintain immutable backup copies and periodic protected offline recovery sets with distinct operators.</x:v>
      </x:c>
      <x:c r="E310" s="10" t="str">
        <x:v>Backups also obey residency and expiration policy and protect escrow/trustees.</x:v>
      </x:c>
      <x:c r="F310" s="10" t="str">
        <x:v>Simulated ransomware fails to destroy recovery points.</x:v>
      </x:c>
      <x:c r="G310" s="10" t="str">
        <x:v>Must</x:v>
      </x:c>
      <x:c r="H310" s="10" t="str">
        <x:v>Core</x:v>
      </x:c>
      <x:c r="I310" s="10" t="str">
        <x:v>Not started</x:v>
      </x:c>
      <x:c r="J310" s="10" t="str"/>
      <x:c r="K310" s="10" t="str"/>
      <x:c r="L310" s="10" t="str"/>
    </x:row>
    <x:row r="311" ht="54" customHeight="1">
      <x:c r="A311" s="10" t="str">
        <x:v>OPS-08</x:v>
      </x:c>
      <x:c r="B311" s="10" t="str">
        <x:v>Reliability, deployment, operations and quality engineering</x:v>
      </x:c>
      <x:c r="C311" s="10" t="str">
        <x:v>Continuous monitoring and alerting</x:v>
      </x:c>
      <x:c r="D311" s="10" t="str">
        <x:v>Instrument service latency, error rate, queue depth, storage, key errors, indexing and tenant resource saturation.</x:v>
      </x:c>
      <x:c r="E311" s="10" t="str">
        <x:v>Telemetry must not record document plaintext, credentials or private keys.</x:v>
      </x:c>
      <x:c r="F311" s="10" t="str">
        <x:v>An injected key-service fault raises correctly prioritized alert and status.</x:v>
      </x:c>
      <x:c r="G311" s="10" t="str">
        <x:v>Must</x:v>
      </x:c>
      <x:c r="H311" s="10" t="str">
        <x:v>Core</x:v>
      </x:c>
      <x:c r="I311" s="10" t="str">
        <x:v>Not started</x:v>
      </x:c>
      <x:c r="J311" s="10" t="str"/>
      <x:c r="K311" s="10" t="str"/>
      <x:c r="L311" s="10" t="str"/>
    </x:row>
    <x:row r="312" ht="54" customHeight="1">
      <x:c r="A312" s="10" t="str">
        <x:v>OPS-09</x:v>
      </x:c>
      <x:c r="B312" s="10" t="str">
        <x:v>Reliability, deployment, operations and quality engineering</x:v>
      </x:c>
      <x:c r="C312" s="10" t="str">
        <x:v>Log correlation and tracing</x:v>
      </x:c>
      <x:c r="D312" s="10" t="str">
        <x:v>Correlate user action across UI, API, policy decision, storage, workflow and key operations with privacy-safe identifiers.</x:v>
      </x:c>
      <x:c r="E312" s="10" t="str">
        <x:v>Trace tokens cannot be used as bearer credentials or expose tenant content.</x:v>
      </x:c>
      <x:c r="F312" s="10" t="str">
        <x:v>Investigators follow one request across services with common ID.</x:v>
      </x:c>
      <x:c r="G312" s="10" t="str">
        <x:v>Should</x:v>
      </x:c>
      <x:c r="H312" s="10" t="str">
        <x:v>Enterprise</x:v>
      </x:c>
      <x:c r="I312" s="10" t="str">
        <x:v>Not started</x:v>
      </x:c>
      <x:c r="J312" s="10" t="str"/>
      <x:c r="K312" s="10" t="str"/>
      <x:c r="L312" s="10" t="str"/>
    </x:row>
    <x:row r="313" ht="54" customHeight="1">
      <x:c r="A313" s="10" t="str">
        <x:v>OPS-10</x:v>
      </x:c>
      <x:c r="B313" s="10" t="str">
        <x:v>Reliability, deployment, operations and quality engineering</x:v>
      </x:c>
      <x:c r="C313" s="10" t="str">
        <x:v>Infrastructure as code</x:v>
      </x:c>
      <x:c r="D313" s="10" t="str">
        <x:v>Deploy reproducibly with peer-reviewed infrastructure definitions, locked policies and automated drift alerts.</x:v>
      </x:c>
      <x:c r="E313" s="10" t="str">
        <x:v>Production secrets are not stored in code repositories or artifact builds.</x:v>
      </x:c>
      <x:c r="F313" s="10" t="str">
        <x:v>Fresh deployment matches security baselines and detects out-of-band changes.</x:v>
      </x:c>
      <x:c r="G313" s="10" t="str">
        <x:v>Must</x:v>
      </x:c>
      <x:c r="H313" s="10" t="str">
        <x:v>Core</x:v>
      </x:c>
      <x:c r="I313" s="10" t="str">
        <x:v>Not started</x:v>
      </x:c>
      <x:c r="J313" s="10" t="str"/>
      <x:c r="K313" s="10" t="str"/>
      <x:c r="L313" s="10" t="str"/>
    </x:row>
    <x:row r="314" ht="54" customHeight="1">
      <x:c r="A314" s="10" t="str">
        <x:v>OPS-11</x:v>
      </x:c>
      <x:c r="B314" s="10" t="str">
        <x:v>Reliability, deployment, operations and quality engineering</x:v>
      </x:c>
      <x:c r="C314" s="10" t="str">
        <x:v>CI/CD security gates</x:v>
      </x:c>
      <x:c r="D314" s="10" t="str">
        <x:v>Run unit, integration, authorization, dependency, secret, static and dynamic security scans on every releasable build.</x:v>
      </x:c>
      <x:c r="E314" s="10" t="str">
        <x:v>Critical findings block release until remediation or formally approved exception that does not defeat essential guarantees.</x:v>
      </x:c>
      <x:c r="F314" s="10" t="str">
        <x:v>Pipeline rejects intentionally inserted broken authorization case.</x:v>
      </x:c>
      <x:c r="G314" s="10" t="str">
        <x:v>Must</x:v>
      </x:c>
      <x:c r="H314" s="10" t="str">
        <x:v>Core</x:v>
      </x:c>
      <x:c r="I314" s="10" t="str">
        <x:v>Not started</x:v>
      </x:c>
      <x:c r="J314" s="10" t="str"/>
      <x:c r="K314" s="10" t="str"/>
      <x:c r="L314" s="10" t="str"/>
    </x:row>
    <x:row r="315" ht="54" customHeight="1">
      <x:c r="A315" s="10" t="str">
        <x:v>OPS-12</x:v>
      </x:c>
      <x:c r="B315" s="10" t="str">
        <x:v>Reliability, deployment, operations and quality engineering</x:v>
      </x:c>
      <x:c r="C315" s="10" t="str">
        <x:v>Penetration testing and red teams</x:v>
      </x:c>
      <x:c r="D315" s="10" t="str">
        <x:v>Commission independent tests of WordPress pivot, identity takeover, cross-tenant BOLA, crypto protocol, import parsers and recovery.</x:v>
      </x:c>
      <x:c r="E315" s="10" t="str">
        <x:v>Findings are severity-ranked, tracked and retested; no blanket claim of flawlessness.</x:v>
      </x:c>
      <x:c r="F315" s="10" t="str">
        <x:v>Evidence shows high/critical findings remediated before production release.</x:v>
      </x:c>
      <x:c r="G315" s="10" t="str">
        <x:v>Must</x:v>
      </x:c>
      <x:c r="H315" s="10" t="str">
        <x:v>Core</x:v>
      </x:c>
      <x:c r="I315" s="10" t="str">
        <x:v>Not started</x:v>
      </x:c>
      <x:c r="J315" s="10" t="str"/>
      <x:c r="K315" s="10" t="str"/>
      <x:c r="L315" s="10" t="str"/>
    </x:row>
    <x:row r="316" ht="54" customHeight="1">
      <x:c r="A316" s="10" t="str">
        <x:v>OPS-13</x:v>
      </x:c>
      <x:c r="B316" s="10" t="str">
        <x:v>Reliability, deployment, operations and quality engineering</x:v>
      </x:c>
      <x:c r="C316" s="10" t="str">
        <x:v>Cryptographic threat-model reviews</x:v>
      </x:c>
      <x:c r="D316" s="10" t="str">
        <x:v>Maintain attack trees for stolen backups, hostile WordPress, compromised identity, malicious insider, endpoint theft and vendor failure.</x:v>
      </x:c>
      <x:c r="E316" s="10" t="str">
        <x:v>Each new zero-knowledge feature updates assumptions and residual risks.</x:v>
      </x:c>
      <x:c r="F316" s="10" t="str">
        <x:v>Architecture review maps each adversary to concrete blocking control and test.</x:v>
      </x:c>
      <x:c r="G316" s="10" t="str">
        <x:v>Must</x:v>
      </x:c>
      <x:c r="H316" s="10" t="str">
        <x:v>Core</x:v>
      </x:c>
      <x:c r="I316" s="10" t="str">
        <x:v>Not started</x:v>
      </x:c>
      <x:c r="J316" s="10" t="str"/>
      <x:c r="K316" s="10" t="str"/>
      <x:c r="L316" s="10" t="str"/>
    </x:row>
    <x:row r="317" ht="54" customHeight="1">
      <x:c r="A317" s="10" t="str">
        <x:v>OPS-14</x:v>
      </x:c>
      <x:c r="B317" s="10" t="str">
        <x:v>Reliability, deployment, operations and quality engineering</x:v>
      </x:c>
      <x:c r="C317" s="10" t="str">
        <x:v>Performance and load testing</x:v>
      </x:c>
      <x:c r="D317" s="10" t="str">
        <x:v>Establish workload profile for 10 initial entities and future scaling, including document count, file size, concurrency and search latency.</x:v>
      </x:c>
      <x:c r="E317" s="10" t="str">
        <x:v>Tests include adversarial uploads, tenant skew and key service outage.</x:v>
      </x:c>
      <x:c r="F317" s="10" t="str">
        <x:v>Load report shows capacity, saturation point and known limits for a benchmark dataset.</x:v>
      </x:c>
      <x:c r="G317" s="10" t="str">
        <x:v>Must</x:v>
      </x:c>
      <x:c r="H317" s="10" t="str">
        <x:v>Core</x:v>
      </x:c>
      <x:c r="I317" s="10" t="str">
        <x:v>Not started</x:v>
      </x:c>
      <x:c r="J317" s="10" t="str"/>
      <x:c r="K317" s="10" t="str"/>
      <x:c r="L317" s="10" t="str"/>
    </x:row>
    <x:row r="318" ht="54" customHeight="1">
      <x:c r="A318" s="10" t="str">
        <x:v>OPS-15</x:v>
      </x:c>
      <x:c r="B318" s="10" t="str">
        <x:v>Reliability, deployment, operations and quality engineering</x:v>
      </x:c>
      <x:c r="C318" s="10" t="str">
        <x:v>Safe application updates</x:v>
      </x:c>
      <x:c r="D318" s="10" t="str">
        <x:v>Version and sign plugin, client and service updates with canary rollout, backward compatibility and safe rollback.</x:v>
      </x:c>
      <x:c r="E318" s="10" t="str">
        <x:v>Crypto format migrations are irreversible only after verified backup and recovery checks.</x:v>
      </x:c>
      <x:c r="F318" s="10" t="str">
        <x:v>Failed rollout reverts without losing committed documents or permissions.</x:v>
      </x:c>
      <x:c r="G318" s="10" t="str">
        <x:v>Must</x:v>
      </x:c>
      <x:c r="H318" s="10" t="str">
        <x:v>Core</x:v>
      </x:c>
      <x:c r="I318" s="10" t="str">
        <x:v>Not started</x:v>
      </x:c>
      <x:c r="J318" s="10" t="str"/>
      <x:c r="K318" s="10" t="str"/>
      <x:c r="L318" s="10" t="str"/>
    </x:row>
    <x:row r="319" ht="54" customHeight="1">
      <x:c r="A319" s="10" t="str">
        <x:v>OPS-16</x:v>
      </x:c>
      <x:c r="B319" s="10" t="str">
        <x:v>Reliability, deployment, operations and quality engineering</x:v>
      </x:c>
      <x:c r="C319" s="10" t="str">
        <x:v>Configuration and feature flags</x:v>
      </x:c>
      <x:c r="D319" s="10" t="str">
        <x:v>Roll out advanced modules by tenant and role using scoped, versioned, auditable flags.</x:v>
      </x:c>
      <x:c r="E319" s="10" t="str">
        <x:v>Flags cannot disable core authorization, encryption or audit controls.</x:v>
      </x:c>
      <x:c r="F319" s="10" t="str">
        <x:v>Turning off AI only disables AI, leaving document access unaffected.</x:v>
      </x:c>
      <x:c r="G319" s="10" t="str">
        <x:v>Should</x:v>
      </x:c>
      <x:c r="H319" s="10" t="str">
        <x:v>Enterprise</x:v>
      </x:c>
      <x:c r="I319" s="10" t="str">
        <x:v>Not started</x:v>
      </x:c>
      <x:c r="J319" s="10" t="str"/>
      <x:c r="K319" s="10" t="str"/>
      <x:c r="L319" s="10" t="str"/>
    </x:row>
    <x:row r="320" ht="54" customHeight="1">
      <x:c r="A320" s="10" t="str">
        <x:v>OPS-17</x:v>
      </x:c>
      <x:c r="B320" s="10" t="str">
        <x:v>Reliability, deployment, operations and quality engineering</x:v>
      </x:c>
      <x:c r="C320" s="10" t="str">
        <x:v>Support diagnostics</x:v>
      </x:c>
      <x:c r="D320" s="10" t="str">
        <x:v>Provide health-check bundles, redacted configuration, version data, anonymized logs and scoped diagnostics.</x:v>
      </x:c>
      <x:c r="E320" s="10" t="str">
        <x:v>Support personnel cannot obtain customer plaintext or recovery keys via diagnostic function.</x:v>
      </x:c>
      <x:c r="F320" s="10" t="str">
        <x:v>Support bundle contains no sensitive markers from seeded secrets.</x:v>
      </x:c>
      <x:c r="G320" s="10" t="str">
        <x:v>Must</x:v>
      </x:c>
      <x:c r="H320" s="10" t="str">
        <x:v>Core</x:v>
      </x:c>
      <x:c r="I320" s="10" t="str">
        <x:v>Not started</x:v>
      </x:c>
      <x:c r="J320" s="10" t="str"/>
      <x:c r="K320" s="10" t="str"/>
      <x:c r="L320" s="10" t="str"/>
    </x:row>
    <x:row r="321" ht="54" customHeight="1">
      <x:c r="A321" s="10" t="str">
        <x:v>OPS-18</x:v>
      </x:c>
      <x:c r="B321" s="10" t="str">
        <x:v>Reliability, deployment, operations and quality engineering</x:v>
      </x:c>
      <x:c r="C321" s="10" t="str">
        <x:v>Operations runbooks</x:v>
      </x:c>
      <x:c r="D321" s="10" t="str">
        <x:v>Document incidents, key loss, storage corruption, database restore, tenant closure, rotation and compromised endpoints with on-call responsibilities.</x:v>
      </x:c>
      <x:c r="E321" s="10" t="str">
        <x:v>Runbooks include explicit stop conditions and authorization approval gates.</x:v>
      </x:c>
      <x:c r="F321" s="10" t="str">
        <x:v>Operator completes tabletop using runbook without undocumented privileged actions.</x:v>
      </x:c>
      <x:c r="G321" s="10" t="str">
        <x:v>Must</x:v>
      </x:c>
      <x:c r="H321" s="10" t="str">
        <x:v>Core</x:v>
      </x:c>
      <x:c r="I321" s="10" t="str">
        <x:v>Not started</x:v>
      </x:c>
      <x:c r="J321" s="10" t="str"/>
      <x:c r="K321" s="10" t="str"/>
      <x:c r="L321" s="10" t="str"/>
    </x:row>
    <x:row r="322" ht="54" customHeight="1">
      <x:c r="A322" s="10" t="str">
        <x:v>OPS-19</x:v>
      </x:c>
      <x:c r="B322" s="10" t="str">
        <x:v>Reliability, deployment, operations and quality engineering</x:v>
      </x:c>
      <x:c r="C322" s="10" t="str">
        <x:v>Scalability and partitioning</x:v>
      </x:c>
      <x:c r="D322" s="10" t="str">
        <x:v>Scale workers and indexes horizontally; partition tenant storage/workloads without changing authorization invariants.</x:v>
      </x:c>
      <x:c r="E322" s="10" t="str">
        <x:v>Queue fairness, rate limits and encryption boundary remain correct during migration.</x:v>
      </x:c>
      <x:c r="F322" s="10" t="str">
        <x:v>Doubling tenants with representative workload does not increase cross-tenant errors.</x:v>
      </x:c>
      <x:c r="G322" s="10" t="str">
        <x:v>Should</x:v>
      </x:c>
      <x:c r="H322" s="10" t="str">
        <x:v>Enterprise</x:v>
      </x:c>
      <x:c r="I322" s="10" t="str">
        <x:v>Not started</x:v>
      </x:c>
      <x:c r="J322" s="10" t="str"/>
      <x:c r="K322" s="10" t="str"/>
      <x:c r="L322" s="10" t="str"/>
    </x:row>
    <x:row r="323" ht="54" customHeight="1">
      <x:c r="A323" s="10" t="str">
        <x:v>OPS-20</x:v>
      </x:c>
      <x:c r="B323" s="10" t="str">
        <x:v>Reliability, deployment, operations and quality engineering</x:v>
      </x:c>
      <x:c r="C323" s="10" t="str">
        <x:v>Data restoration and selective recovery</x:v>
      </x:c>
      <x:c r="D323" s="10" t="str">
        <x:v>Restore selected documents, versions, metadata, ACLs or full tenant from signed encrypted backup manifests.</x:v>
      </x:c>
      <x:c r="E323" s="10" t="str">
        <x:v>Restores cannot reinstate revoked access or accidentally unseal previously destroyed keys.</x:v>
      </x:c>
      <x:c r="F323" s="10" t="str">
        <x:v>Recover one deleted tenant collection under controlled approval while preserving current restrictions.</x:v>
      </x:c>
      <x:c r="G323" s="10" t="str">
        <x:v>Should</x:v>
      </x:c>
      <x:c r="H323" s="10" t="str">
        <x:v>Enterprise</x:v>
      </x:c>
      <x:c r="I323" s="10" t="str">
        <x:v>Not started</x:v>
      </x:c>
      <x:c r="J323" s="10" t="str"/>
      <x:c r="K323" s="10" t="str"/>
      <x:c r="L323" s="10" t="str"/>
    </x:row>
    <x:row r="324" ht="54" customHeight="1">
      <x:c r="A324" s="10" t="str">
        <x:v>OPS-21</x:v>
      </x:c>
      <x:c r="B324" s="10" t="str">
        <x:v>Reliability, deployment, operations and quality engineering</x:v>
      </x:c>
      <x:c r="C324" s="10" t="str">
        <x:v>Service continuity and exit plan</x:v>
      </x:c>
      <x:c r="D324" s="10" t="str">
        <x:v>Document replacement of cloud vendors, secret revocation, data export, tenant relocation and system shutdown.</x:v>
      </x:c>
      <x:c r="E324" s="10" t="str">
        <x:v>Vendor change does not weaken confidentiality or legal retention.</x:v>
      </x:c>
      <x:c r="F324" s="10" t="str">
        <x:v>Controlled continuity drill proves sample restore into alternate approved environment.</x:v>
      </x:c>
      <x:c r="G324" s="10" t="str">
        <x:v>Advanced</x:v>
      </x:c>
      <x:c r="H324" s="10" t="str">
        <x:v>Expansion</x:v>
      </x:c>
      <x:c r="I324" s="10" t="str">
        <x:v>Not started</x:v>
      </x:c>
      <x:c r="J324" s="10" t="str"/>
      <x:c r="K324" s="10" t="str"/>
      <x:c r="L324" s="10" t="str"/>
    </x:row>
    <x:row r="325" ht="54" customHeight="1">
      <x:c r="A325" s="10" t="str">
        <x:v>MIG-01</x:v>
      </x:c>
      <x:c r="B325" s="10" t="str">
        <x:v>Onboarding, migration, adoption and support</x:v>
      </x:c>
      <x:c r="C325" s="10" t="str">
        <x:v>Tenant onboarding wizard</x:v>
      </x:c>
      <x:c r="D325" s="10" t="str">
        <x:v>Guide creation of entities, corporate branding, administrators, teams, policies, storage regions and initial collections.</x:v>
      </x:c>
      <x:c r="E325" s="10" t="str">
        <x:v>Enforce locked minimum encryption, MFA and sharing settings in the wizard.</x:v>
      </x:c>
      <x:c r="F325" s="10" t="str">
        <x:v>New tenant is configured through complete checklist without manual database changes.</x:v>
      </x:c>
      <x:c r="G325" s="10" t="str">
        <x:v>Must</x:v>
      </x:c>
      <x:c r="H325" s="10" t="str">
        <x:v>Core</x:v>
      </x:c>
      <x:c r="I325" s="10" t="str">
        <x:v>Not started</x:v>
      </x:c>
      <x:c r="J325" s="10" t="str"/>
      <x:c r="K325" s="10" t="str"/>
      <x:c r="L325" s="10" t="str"/>
    </x:row>
    <x:row r="326" ht="54" customHeight="1">
      <x:c r="A326" s="10" t="str">
        <x:v>MIG-02</x:v>
      </x:c>
      <x:c r="B326" s="10" t="str">
        <x:v>Onboarding, migration, adoption and support</x:v>
      </x:c>
      <x:c r="C326" s="10" t="str">
        <x:v>Legacy file-share import</x:v>
      </x:c>
      <x:c r="D326" s="10" t="str">
        <x:v>Import folders/files from approved SMB, SFTP and exported archives with mapping of owners, paths and timestamps.</x:v>
      </x:c>
      <x:c r="E326" s="10" t="str">
        <x:v>Source credentials are short-lived and scanning/retention policies apply to imported files.</x:v>
      </x:c>
      <x:c r="F326" s="10" t="str">
        <x:v>Import report accounts for every source file and failed import with retry reason.</x:v>
      </x:c>
      <x:c r="G326" s="10" t="str">
        <x:v>Should</x:v>
      </x:c>
      <x:c r="H326" s="10" t="str">
        <x:v>Enterprise</x:v>
      </x:c>
      <x:c r="I326" s="10" t="str">
        <x:v>Not started</x:v>
      </x:c>
      <x:c r="J326" s="10" t="str"/>
      <x:c r="K326" s="10" t="str"/>
      <x:c r="L326" s="10" t="str"/>
    </x:row>
    <x:row r="327" ht="54" customHeight="1">
      <x:c r="A327" s="10" t="str">
        <x:v>MIG-03</x:v>
      </x:c>
      <x:c r="B327" s="10" t="str">
        <x:v>Onboarding, migration, adoption and support</x:v>
      </x:c>
      <x:c r="C327" s="10" t="str">
        <x:v>SharePoint and cloud migration</x:v>
      </x:c>
      <x:c r="D327" s="10" t="str">
        <x:v>Connect to approved cloud DMS exports/APIs and map historical versions, metadata, links and permissions.</x:v>
      </x:c>
      <x:c r="E327" s="10" t="str">
        <x:v>Never assume foreign ACL maps directly to new protected system capabilities.</x:v>
      </x:c>
      <x:c r="F327" s="10" t="str">
        <x:v>Pilot import flags unmapped accounts and forbidden external shares before cutover.</x:v>
      </x:c>
      <x:c r="G327" s="10" t="str">
        <x:v>Should</x:v>
      </x:c>
      <x:c r="H327" s="10" t="str">
        <x:v>Enterprise</x:v>
      </x:c>
      <x:c r="I327" s="10" t="str">
        <x:v>Not started</x:v>
      </x:c>
      <x:c r="J327" s="10" t="str"/>
      <x:c r="K327" s="10" t="str"/>
      <x:c r="L327" s="10" t="str"/>
    </x:row>
    <x:row r="328" ht="54" customHeight="1">
      <x:c r="A328" s="10" t="str">
        <x:v>MIG-04</x:v>
      </x:c>
      <x:c r="B328" s="10" t="str">
        <x:v>Onboarding, migration, adoption and support</x:v>
      </x:c>
      <x:c r="C328" s="10" t="str">
        <x:v>Confluence and wiki import</x:v>
      </x:c>
      <x:c r="D328" s="10" t="str">
        <x:v>Import approved wiki pages, attachments, hierarchies, links and revisions into secure knowledge spaces.</x:v>
      </x:c>
      <x:c r="E328" s="10" t="str">
        <x:v>Private wiki spaces cannot be made public by importer defaults.</x:v>
      </x:c>
      <x:c r="F328" s="10" t="str">
        <x:v>Imported page references resolve or appear in a remediation queue.</x:v>
      </x:c>
      <x:c r="G328" s="10" t="str">
        <x:v>Should</x:v>
      </x:c>
      <x:c r="H328" s="10" t="str">
        <x:v>Enterprise</x:v>
      </x:c>
      <x:c r="I328" s="10" t="str">
        <x:v>Not started</x:v>
      </x:c>
      <x:c r="J328" s="10" t="str"/>
      <x:c r="K328" s="10" t="str"/>
      <x:c r="L328" s="10" t="str"/>
    </x:row>
    <x:row r="329" ht="54" customHeight="1">
      <x:c r="A329" s="10" t="str">
        <x:v>MIG-05</x:v>
      </x:c>
      <x:c r="B329" s="10" t="str">
        <x:v>Onboarding, migration, adoption and support</x:v>
      </x:c>
      <x:c r="C329" s="10" t="str">
        <x:v>Migration dry-run</x:v>
      </x:c>
      <x:c r="D329" s="10" t="str">
        <x:v>Analyze source inventory, duplicate names, path limits, unsupported formats, classification gaps and user collisions without modifying live data.</x:v>
      </x:c>
      <x:c r="E329" s="10" t="str">
        <x:v>Preview access limited to authorized project administrators.</x:v>
      </x:c>
      <x:c r="F329" s="10" t="str">
        <x:v>Dry-run provides complete issue list and projected quota use.</x:v>
      </x:c>
      <x:c r="G329" s="10" t="str">
        <x:v>Must</x:v>
      </x:c>
      <x:c r="H329" s="10" t="str">
        <x:v>Core</x:v>
      </x:c>
      <x:c r="I329" s="10" t="str">
        <x:v>Not started</x:v>
      </x:c>
      <x:c r="J329" s="10" t="str"/>
      <x:c r="K329" s="10" t="str"/>
      <x:c r="L329" s="10" t="str"/>
    </x:row>
    <x:row r="330" ht="54" customHeight="1">
      <x:c r="A330" s="10" t="str">
        <x:v>MIG-06</x:v>
      </x:c>
      <x:c r="B330" s="10" t="str">
        <x:v>Onboarding, migration, adoption and support</x:v>
      </x:c>
      <x:c r="C330" s="10" t="str">
        <x:v>User/role mapping review</x:v>
      </x:c>
      <x:c r="D330" s="10" t="str">
        <x:v>Map legacy users, departments, role groups and orphan accounts to explicit tenant memberships and custom roles.</x:v>
      </x:c>
      <x:c r="E330" s="10" t="str">
        <x:v>Imported permissions fail closed until approved; no implicit admin mappings.</x:v>
      </x:c>
      <x:c r="F330" s="10" t="str">
        <x:v>Unmapped privileged source account cannot access target tenant.</x:v>
      </x:c>
      <x:c r="G330" s="10" t="str">
        <x:v>Must</x:v>
      </x:c>
      <x:c r="H330" s="10" t="str">
        <x:v>Core</x:v>
      </x:c>
      <x:c r="I330" s="10" t="str">
        <x:v>Not started</x:v>
      </x:c>
      <x:c r="J330" s="10" t="str"/>
      <x:c r="K330" s="10" t="str"/>
      <x:c r="L330" s="10" t="str"/>
    </x:row>
    <x:row r="331" ht="54" customHeight="1">
      <x:c r="A331" s="10" t="str">
        <x:v>MIG-07</x:v>
      </x:c>
      <x:c r="B331" s="10" t="str">
        <x:v>Onboarding, migration, adoption and support</x:v>
      </x:c>
      <x:c r="C331" s="10" t="str">
        <x:v>Migration integrity manifest</x:v>
      </x:c>
      <x:c r="D331" s="10" t="str">
        <x:v>Record source identifiers, hashes, size, destination IDs, timestamps, version relationships and reconciliation state.</x:v>
      </x:c>
      <x:c r="E331" s="10" t="str">
        <x:v>Manifest is integrity protected and excludes unnecessary sensitive plaintext.</x:v>
      </x:c>
      <x:c r="F331" s="10" t="str">
        <x:v>Sampled files match signed origin mapping and all discrepancies are reported.</x:v>
      </x:c>
      <x:c r="G331" s="10" t="str">
        <x:v>Must</x:v>
      </x:c>
      <x:c r="H331" s="10" t="str">
        <x:v>Core</x:v>
      </x:c>
      <x:c r="I331" s="10" t="str">
        <x:v>Not started</x:v>
      </x:c>
      <x:c r="J331" s="10" t="str"/>
      <x:c r="K331" s="10" t="str"/>
      <x:c r="L331" s="10" t="str"/>
    </x:row>
    <x:row r="332" ht="54" customHeight="1">
      <x:c r="A332" s="10" t="str">
        <x:v>MIG-08</x:v>
      </x:c>
      <x:c r="B332" s="10" t="str">
        <x:v>Onboarding, migration, adoption and support</x:v>
      </x:c>
      <x:c r="C332" s="10" t="str">
        <x:v>Pilot and phased rollout</x:v>
      </x:c>
      <x:c r="D332" s="10" t="str">
        <x:v>Start with one subsidiary, then wave deployments, training and success criteria across the 10 entities.</x:v>
      </x:c>
      <x:c r="E332" s="10" t="str">
        <x:v>No subsidiary's security posture depends on unfinished migration of another.</x:v>
      </x:c>
      <x:c r="F332" s="10" t="str">
        <x:v>Pilot passes security and user acceptance before rollout to remaining entities.</x:v>
      </x:c>
      <x:c r="G332" s="10" t="str">
        <x:v>Must</x:v>
      </x:c>
      <x:c r="H332" s="10" t="str">
        <x:v>Core</x:v>
      </x:c>
      <x:c r="I332" s="10" t="str">
        <x:v>Not started</x:v>
      </x:c>
      <x:c r="J332" s="10" t="str"/>
      <x:c r="K332" s="10" t="str"/>
      <x:c r="L332" s="10" t="str"/>
    </x:row>
    <x:row r="333" ht="54" customHeight="1">
      <x:c r="A333" s="10" t="str">
        <x:v>MIG-09</x:v>
      </x:c>
      <x:c r="B333" s="10" t="str">
        <x:v>Onboarding, migration, adoption and support</x:v>
      </x:c>
      <x:c r="C333" s="10" t="str">
        <x:v>User training and certification</x:v>
      </x:c>
      <x:c r="D333" s="10" t="str">
        <x:v>Provide localized tutorials for administrators, contributors, legal staff, reviewers, mobile users and zero-knowledge recovery trustees.</x:v>
      </x:c>
      <x:c r="E333" s="10" t="str">
        <x:v>Teach the difference between revocation and deletion of already downloaded copies.</x:v>
      </x:c>
      <x:c r="F333" s="10" t="str">
        <x:v>Role-based quiz confirms understanding of critical access and confidentiality workflows.</x:v>
      </x:c>
      <x:c r="G333" s="10" t="str">
        <x:v>Should</x:v>
      </x:c>
      <x:c r="H333" s="10" t="str">
        <x:v>Enterprise</x:v>
      </x:c>
      <x:c r="I333" s="10" t="str">
        <x:v>Not started</x:v>
      </x:c>
      <x:c r="J333" s="10" t="str"/>
      <x:c r="K333" s="10" t="str"/>
      <x:c r="L333" s="10" t="str"/>
    </x:row>
    <x:row r="334" ht="54" customHeight="1">
      <x:c r="A334" s="10" t="str">
        <x:v>MIG-10</x:v>
      </x:c>
      <x:c r="B334" s="10" t="str">
        <x:v>Onboarding, migration, adoption and support</x:v>
      </x:c>
      <x:c r="C334" s="10" t="str">
        <x:v>Knowledge migration cleanup</x:v>
      </x:c>
      <x:c r="D334" s="10" t="str">
        <x:v>Flag duplicates, obsolete policies, stale ownership and inconsistent naming for governed remediation.</x:v>
      </x:c>
      <x:c r="E334" s="10" t="str">
        <x:v>Machine-generated classifications must be reviewed for sensitive document types.</x:v>
      </x:c>
      <x:c r="F334" s="10" t="str">
        <x:v>Published legacy policy requires owner and review date before official designation.</x:v>
      </x:c>
      <x:c r="G334" s="10" t="str">
        <x:v>Should</x:v>
      </x:c>
      <x:c r="H334" s="10" t="str">
        <x:v>Enterprise</x:v>
      </x:c>
      <x:c r="I334" s="10" t="str">
        <x:v>Not started</x:v>
      </x:c>
      <x:c r="J334" s="10" t="str"/>
      <x:c r="K334" s="10" t="str"/>
      <x:c r="L334" s="10" t="str"/>
    </x:row>
    <x:row r="335" ht="54" customHeight="1">
      <x:c r="A335" s="10" t="str">
        <x:v>MIG-11</x:v>
      </x:c>
      <x:c r="B335" s="10" t="str">
        <x:v>Onboarding, migration, adoption and support</x:v>
      </x:c>
      <x:c r="C335" s="10" t="str">
        <x:v>Support and help desk integration</x:v>
      </x:c>
      <x:c r="D335" s="10" t="str">
        <x:v>Track help tickets, diagnostic requests, incident escalation and tenant administrators with role-aware customer support controls.</x:v>
      </x:c>
      <x:c r="E335" s="10" t="str">
        <x:v>Support impersonation is off by default and cannot bypass protected-mode key access.</x:v>
      </x:c>
      <x:c r="F335" s="10" t="str">
        <x:v>Support case shows approvals, masked context and complete access history.</x:v>
      </x:c>
      <x:c r="G335" s="10" t="str">
        <x:v>Should</x:v>
      </x:c>
      <x:c r="H335" s="10" t="str">
        <x:v>Enterprise</x:v>
      </x:c>
      <x:c r="I335" s="10" t="str">
        <x:v>Not started</x:v>
      </x:c>
      <x:c r="J335" s="10" t="str"/>
      <x:c r="K335" s="10" t="str"/>
      <x:c r="L335" s="10" t="str"/>
    </x:row>
    <x:row r="336" ht="54" customHeight="1">
      <x:c r="A336" s="10" t="str">
        <x:v>MIG-12</x:v>
      </x:c>
      <x:c r="B336" s="10" t="str">
        <x:v>Onboarding, migration, adoption and support</x:v>
      </x:c>
      <x:c r="C336" s="10" t="str">
        <x:v>Documentation and API guides</x:v>
      </x:c>
      <x:c r="D336" s="10" t="str">
        <x:v>Publish deployment guides, admin/security handbooks, translations, privacy notes, SDK guides and user manuals with version tags.</x:v>
      </x:c>
      <x:c r="E336" s="10" t="str">
        <x:v>Document all unsupported combinations and residual risks instead of hiding them.</x:v>
      </x:c>
      <x:c r="F336" s="10" t="str">
        <x:v>Release checklist verifies manuals for every changed critical feature.</x:v>
      </x:c>
      <x:c r="G336" s="10" t="str">
        <x:v>Must</x:v>
      </x:c>
      <x:c r="H336" s="10" t="str">
        <x:v>Core</x:v>
      </x:c>
      <x:c r="I336" s="10" t="str">
        <x:v>Not started</x:v>
      </x:c>
      <x:c r="J336" s="10" t="str"/>
      <x:c r="K336" s="10" t="str"/>
      <x:c r="L336" s="10" t="str"/>
    </x:row>
    <x:row r="337" ht="54" customHeight="1">
      <x:c r="A337" s="10" t="str">
        <x:v>MIG-13</x:v>
      </x:c>
      <x:c r="B337" s="10" t="str">
        <x:v>Onboarding, migration, adoption and support</x:v>
      </x:c>
      <x:c r="C337" s="10" t="str">
        <x:v>Training sandbox</x:v>
      </x:c>
      <x:c r="D337" s="10" t="str">
        <x:v>Supply sample synthetic documents, demo tenants, test roles and resettable workflow scenarios.</x:v>
      </x:c>
      <x:c r="E337" s="10" t="str">
        <x:v>Sandbox is isolated from production identities, crypto keys and audit.</x:v>
      </x:c>
      <x:c r="F337" s="10" t="str">
        <x:v>Trainer resets sample company without affecting a real tenant.</x:v>
      </x:c>
      <x:c r="G337" s="10" t="str">
        <x:v>Should</x:v>
      </x:c>
      <x:c r="H337" s="10" t="str">
        <x:v>Enterprise</x:v>
      </x:c>
      <x:c r="I337" s="10" t="str">
        <x:v>Not started</x:v>
      </x:c>
      <x:c r="J337" s="10" t="str"/>
      <x:c r="K337" s="10" t="str"/>
      <x:c r="L337" s="10" t="str"/>
    </x:row>
    <x:row r="338" ht="54" customHeight="1">
      <x:c r="A338" s="10" t="str">
        <x:v>VRP-01</x:v>
      </x:c>
      <x:c r="B338" s="10" t="str">
        <x:v>Specialized enterprise modules and future differentiation</x:v>
      </x:c>
      <x:c r="C338" s="10" t="str">
        <x:v>Contract lifecycle management</x:v>
      </x:c>
      <x:c r="D338" s="10" t="str">
        <x:v>Manage request, draft, review, clause library, negotiation, execution, obligations and renewal.</x:v>
      </x:c>
      <x:c r="E338" s="10" t="str">
        <x:v>High-risk contract data remains classification-bound and signature provider disclosures are explicit.</x:v>
      </x:c>
      <x:c r="F338" s="10" t="str">
        <x:v>Agreement alert triggers before approved renewal deadline with linked version evidence.</x:v>
      </x:c>
      <x:c r="G338" s="10" t="str">
        <x:v>Advanced</x:v>
      </x:c>
      <x:c r="H338" s="10" t="str">
        <x:v>Expansion</x:v>
      </x:c>
      <x:c r="I338" s="10" t="str">
        <x:v>Not started</x:v>
      </x:c>
      <x:c r="J338" s="10" t="str"/>
      <x:c r="K338" s="10" t="str"/>
      <x:c r="L338" s="10" t="str"/>
    </x:row>
    <x:row r="339" ht="54" customHeight="1">
      <x:c r="A339" s="10" t="str">
        <x:v>VRP-02</x:v>
      </x:c>
      <x:c r="B339" s="10" t="str">
        <x:v>Specialized enterprise modules and future differentiation</x:v>
      </x:c>
      <x:c r="C339" s="10" t="str">
        <x:v>Board and committee portal</x:v>
      </x:c>
      <x:c r="D339" s="10" t="str">
        <x:v>Build encrypted board packs, agendas, minutes, resolutions, voting workflow and approved meeting archives.</x:v>
      </x:c>
      <x:c r="E339" s="10" t="str">
        <x:v>Board confidentiality can mandate zero-knowledge mode and stricter device checks.</x:v>
      </x:c>
      <x:c r="F339" s="10" t="str">
        <x:v>Revoked board member cannot open new pack from expired session.</x:v>
      </x:c>
      <x:c r="G339" s="10" t="str">
        <x:v>Advanced</x:v>
      </x:c>
      <x:c r="H339" s="10" t="str">
        <x:v>Expansion</x:v>
      </x:c>
      <x:c r="I339" s="10" t="str">
        <x:v>Not started</x:v>
      </x:c>
      <x:c r="J339" s="10" t="str"/>
      <x:c r="K339" s="10" t="str"/>
      <x:c r="L339" s="10" t="str"/>
    </x:row>
    <x:row r="340" ht="54" customHeight="1">
      <x:c r="A340" s="10" t="str">
        <x:v>VRP-03</x:v>
      </x:c>
      <x:c r="B340" s="10" t="str">
        <x:v>Specialized enterprise modules and future differentiation</x:v>
      </x:c>
      <x:c r="C340" s="10" t="str">
        <x:v>Policy and SOP control center</x:v>
      </x:c>
      <x:c r="D340" s="10" t="str">
        <x:v>Manage formal policies, version approvals, distribution, acknowledgments, exceptions and supersession.</x:v>
      </x:c>
      <x:c r="E340" s="10" t="str">
        <x:v>Only certified current versions appear in official policy navigation.</x:v>
      </x:c>
      <x:c r="F340" s="10" t="str">
        <x:v>Annual policy cycle produces review and attestation evidence.</x:v>
      </x:c>
      <x:c r="G340" s="10" t="str">
        <x:v>Should</x:v>
      </x:c>
      <x:c r="H340" s="10" t="str">
        <x:v>Enterprise</x:v>
      </x:c>
      <x:c r="I340" s="10" t="str">
        <x:v>Not started</x:v>
      </x:c>
      <x:c r="J340" s="10" t="str"/>
      <x:c r="K340" s="10" t="str"/>
      <x:c r="L340" s="10" t="str"/>
    </x:row>
    <x:row r="341" ht="54" customHeight="1">
      <x:c r="A341" s="10" t="str">
        <x:v>VRP-04</x:v>
      </x:c>
      <x:c r="B341" s="10" t="str">
        <x:v>Specialized enterprise modules and future differentiation</x:v>
      </x:c>
      <x:c r="C341" s="10" t="str">
        <x:v>Quality management and CAPA</x:v>
      </x:c>
      <x:c r="D341" s="10" t="str">
        <x:v>Record nonconformities, corrective/preventive actions, evidence, inspections and controlled procedures.</x:v>
      </x:c>
      <x:c r="E341" s="10" t="str">
        <x:v>Quality evidence is immutable or versioned according to record class.</x:v>
      </x:c>
      <x:c r="F341" s="10" t="str">
        <x:v>CAPA closure requires evidence review and authorized sign-off.</x:v>
      </x:c>
      <x:c r="G341" s="10" t="str">
        <x:v>Advanced</x:v>
      </x:c>
      <x:c r="H341" s="10" t="str">
        <x:v>Expansion</x:v>
      </x:c>
      <x:c r="I341" s="10" t="str">
        <x:v>Not started</x:v>
      </x:c>
      <x:c r="J341" s="10" t="str"/>
      <x:c r="K341" s="10" t="str"/>
      <x:c r="L341" s="10" t="str"/>
    </x:row>
    <x:row r="342" ht="54" customHeight="1">
      <x:c r="A342" s="10" t="str">
        <x:v>VRP-05</x:v>
      </x:c>
      <x:c r="B342" s="10" t="str">
        <x:v>Specialized enterprise modules and future differentiation</x:v>
      </x:c>
      <x:c r="C342" s="10" t="str">
        <x:v>Risk and compliance register</x:v>
      </x:c>
      <x:c r="D342" s="10" t="str">
        <x:v>Track risks, obligations, controls, control owners, evidence and audits linked to relevant records.</x:v>
      </x:c>
      <x:c r="E342" s="10" t="str">
        <x:v>Sensitive incident details remain limited to risk team and approved auditors.</x:v>
      </x:c>
      <x:c r="F342" s="10" t="str">
        <x:v>Control owner can trace risk mitigation to signed policy version.</x:v>
      </x:c>
      <x:c r="G342" s="10" t="str">
        <x:v>Advanced</x:v>
      </x:c>
      <x:c r="H342" s="10" t="str">
        <x:v>Expansion</x:v>
      </x:c>
      <x:c r="I342" s="10" t="str">
        <x:v>Not started</x:v>
      </x:c>
      <x:c r="J342" s="10" t="str"/>
      <x:c r="K342" s="10" t="str"/>
      <x:c r="L342" s="10" t="str"/>
    </x:row>
    <x:row r="343" ht="54" customHeight="1">
      <x:c r="A343" s="10" t="str">
        <x:v>VRP-06</x:v>
      </x:c>
      <x:c r="B343" s="10" t="str">
        <x:v>Specialized enterprise modules and future differentiation</x:v>
      </x:c>
      <x:c r="C343" s="10" t="str">
        <x:v>Project document control</x:v>
      </x:c>
      <x:c r="D343" s="10" t="str">
        <x:v>Support transmittals, revision registers, drawing review, document submittals and external engineering parties.</x:v>
      </x:c>
      <x:c r="E343" s="10" t="str">
        <x:v>Revision releases do not overwrite previous approved artifacts and vendor permissions expire.</x:v>
      </x:c>
      <x:c r="F343" s="10" t="str">
        <x:v>Project document register accurately reflects latest accepted revision.</x:v>
      </x:c>
      <x:c r="G343" s="10" t="str">
        <x:v>Advanced</x:v>
      </x:c>
      <x:c r="H343" s="10" t="str">
        <x:v>Expansion</x:v>
      </x:c>
      <x:c r="I343" s="10" t="str">
        <x:v>Not started</x:v>
      </x:c>
      <x:c r="J343" s="10" t="str"/>
      <x:c r="K343" s="10" t="str"/>
      <x:c r="L343" s="10" t="str"/>
    </x:row>
    <x:row r="344" ht="54" customHeight="1">
      <x:c r="A344" s="10" t="str">
        <x:v>VRP-07</x:v>
      </x:c>
      <x:c r="B344" s="10" t="str">
        <x:v>Specialized enterprise modules and future differentiation</x:v>
      </x:c>
      <x:c r="C344" s="10" t="str">
        <x:v>HR document vault</x:v>
      </x:c>
      <x:c r="D344" s="10" t="str">
        <x:v>Manage employee files, case-specific HR permissions, offboarding, retention and subject-access requests.</x:v>
      </x:c>
      <x:c r="E344" s="10" t="str">
        <x:v>HR record visibility cannot be inferred from generic department membership.</x:v>
      </x:c>
      <x:c r="F344" s="10" t="str">
        <x:v>Department administrator without HR case rights cannot search employee files.</x:v>
      </x:c>
      <x:c r="G344" s="10" t="str">
        <x:v>Advanced</x:v>
      </x:c>
      <x:c r="H344" s="10" t="str">
        <x:v>Expansion</x:v>
      </x:c>
      <x:c r="I344" s="10" t="str">
        <x:v>Not started</x:v>
      </x:c>
      <x:c r="J344" s="10" t="str"/>
      <x:c r="K344" s="10" t="str"/>
      <x:c r="L344" s="10" t="str"/>
    </x:row>
    <x:row r="345" ht="54" customHeight="1">
      <x:c r="A345" s="10" t="str">
        <x:v>VRP-08</x:v>
      </x:c>
      <x:c r="B345" s="10" t="str">
        <x:v>Specialized enterprise modules and future differentiation</x:v>
      </x:c>
      <x:c r="C345" s="10" t="str">
        <x:v>Procurement and vendor dossiers</x:v>
      </x:c>
      <x:c r="D345" s="10" t="str">
        <x:v>Combine vendor onboarding, compliance certificates, contracts, invoices and risk reviews in a controlled collection.</x:v>
      </x:c>
      <x:c r="E345" s="10" t="str">
        <x:v>Third-party uploads enter isolated review and malware quarantine.</x:v>
      </x:c>
      <x:c r="F345" s="10" t="str">
        <x:v>Supplier cannot see another supplier's submissions.</x:v>
      </x:c>
      <x:c r="G345" s="10" t="str">
        <x:v>Advanced</x:v>
      </x:c>
      <x:c r="H345" s="10" t="str">
        <x:v>Expansion</x:v>
      </x:c>
      <x:c r="I345" s="10" t="str">
        <x:v>Not started</x:v>
      </x:c>
      <x:c r="J345" s="10" t="str"/>
      <x:c r="K345" s="10" t="str"/>
      <x:c r="L345" s="10" t="str"/>
    </x:row>
    <x:row r="346" ht="54" customHeight="1">
      <x:c r="A346" s="10" t="str">
        <x:v>VRP-09</x:v>
      </x:c>
      <x:c r="B346" s="10" t="str">
        <x:v>Specialized enterprise modules and future differentiation</x:v>
      </x:c>
      <x:c r="C346" s="10" t="str">
        <x:v>Secure data-room analytics</x:v>
      </x:c>
      <x:c r="D346" s="10" t="str">
        <x:v>Provide bidder-specific question workflows, invitation status and document access analytics for due diligence.</x:v>
      </x:c>
      <x:c r="E346" s="10" t="str">
        <x:v>Aggregated analytics avoid revealing identity of other bidders or privileged material.</x:v>
      </x:c>
      <x:c r="F346" s="10" t="str">
        <x:v>Seller reviews each bidder's permitted activity only.</x:v>
      </x:c>
      <x:c r="G346" s="10" t="str">
        <x:v>Advanced</x:v>
      </x:c>
      <x:c r="H346" s="10" t="str">
        <x:v>Expansion</x:v>
      </x:c>
      <x:c r="I346" s="10" t="str">
        <x:v>Not started</x:v>
      </x:c>
      <x:c r="J346" s="10" t="str"/>
      <x:c r="K346" s="10" t="str"/>
      <x:c r="L346" s="10" t="str"/>
    </x:row>
    <x:row r="347" ht="54" customHeight="1">
      <x:c r="A347" s="10" t="str">
        <x:v>VRP-10</x:v>
      </x:c>
      <x:c r="B347" s="10" t="str">
        <x:v>Specialized enterprise modules and future differentiation</x:v>
      </x:c>
      <x:c r="C347" s="10" t="str">
        <x:v>Industry modules SDK</x:v>
      </x:c>
      <x:c r="D347" s="10" t="str">
        <x:v>Provide plugin extension points for legal, healthcare, construction, energy or public-sector workflows under security-reviewed contracts.</x:v>
      </x:c>
      <x:c r="E347" s="10" t="str">
        <x:v>Extensions cannot bypass tenant ACL, keys, audit or retention engine.</x:v>
      </x:c>
      <x:c r="F347" s="10" t="str">
        <x:v>Example extension fails integration tests if it requests unauthorized direct storage access.</x:v>
      </x:c>
      <x:c r="G347" s="10" t="str">
        <x:v>Advanced</x:v>
      </x:c>
      <x:c r="H347" s="10" t="str">
        <x:v>Expansion</x:v>
      </x:c>
      <x:c r="I347" s="10" t="str">
        <x:v>Not started</x:v>
      </x:c>
      <x:c r="J347" s="10" t="str"/>
      <x:c r="K347" s="10" t="str"/>
      <x:c r="L347" s="10" t="str"/>
    </x:row>
  </x:sheetData>
  <x:conditionalFormatting sqref="I2:I347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G2:G347">
    <x:cfRule type="expression" dxfId="2" priority="3">
      <x:formula>G2="Must"</x:formula>
    </x:cfRule>
  </x:conditionalFormatting>
  <x:dataValidations count="3">
    <x:dataValidation type="list" sqref="I2:I347">
      <x:formula1>"Not started,In design,In development,In test,Blocked,Done,Deferred"</x:formula1>
    </x:dataValidation>
    <x:dataValidation type="list" sqref="G2:G347">
      <x:formula1>"Must,Should,Advanced"</x:formula1>
    </x:dataValidation>
    <x:dataValidation type="list" sqref="H2:H347">
      <x:formula1>"Core,Enterprise,Expansion"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d35c95df344630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5" hidden="0" customWidth="1"/>
    <x:col min="3" max="3" width="85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4" hidden="0" customWidth="1"/>
    <x:col min="12" max="12" width="15" hidden="0" customWidth="1"/>
  </x:cols>
  <x:sheetData>
    <x:row r="1" ht="29" customHeight="1">
      <x:c r="A1" s="3" t="str">
        <x:v>Code</x:v>
      </x:c>
      <x:c r="B1" s="3" t="str">
        <x:v>Module</x:v>
      </x:c>
      <x:c r="C1" s="3" t="str">
        <x:v>Purpose</x:v>
      </x:c>
      <x:c r="D1" s="3" t="str">
        <x:v>Features</x:v>
      </x:c>
      <x:c r="E1" s="3" t="str">
        <x:v>Must</x:v>
      </x:c>
      <x:c r="F1" s="3" t="str">
        <x:v>Should</x:v>
      </x:c>
      <x:c r="G1" s="3" t="str">
        <x:v>Advanced</x:v>
      </x:c>
      <x:c r="H1" s="3" t="str">
        <x:v>Core</x:v>
      </x:c>
      <x:c r="I1" s="3" t="str">
        <x:v>Enterprise</x:v>
      </x:c>
      <x:c r="J1" s="3" t="str">
        <x:v>Expansion</x:v>
      </x:c>
      <x:c r="K1" s="3" t="str">
        <x:v>Completed</x:v>
      </x:c>
      <x:c r="L1" s="3" t="str">
        <x:v>Progress</x:v>
      </x:c>
    </x:row>
    <x:row r="2" ht="48" customHeight="1">
      <x:c r="A2" s="8" t="str">
        <x:v>TEN</x:v>
      </x:c>
      <x:c r="B2" s="8" t="str">
        <x:v>Holding-company structure and tenant isolation</x:v>
      </x:c>
      <x:c r="C2" s="8" t="str">
        <x:v>Every subsidiary is a separately governed security scope. The holding company administers tenant existence and permitted policy baselines, not an implicit universal decryption capability.</x:v>
      </x:c>
      <x:c r="D2" s="8" t="n">
        <x:f>COUNTIF(Requirements!$B$2:$B$347,B2)</x:f>
        <x:v>14</x:v>
      </x:c>
      <x:c r="E2" s="8" t="n">
        <x:f>COUNTIFS(Requirements!$B$2:$B$347,B2,Requirements!$G$2:$G$347,"Must")</x:f>
        <x:v>7</x:v>
      </x:c>
      <x:c r="F2" s="8" t="n">
        <x:f>COUNTIFS(Requirements!$B$2:$B$347,B2,Requirements!$G$2:$G$347,"Should")</x:f>
        <x:v>6</x:v>
      </x:c>
      <x:c r="G2" s="8" t="n">
        <x:f>COUNTIFS(Requirements!$B$2:$B$347,B2,Requirements!$G$2:$G$347,"Advanced")</x:f>
        <x:v>1</x:v>
      </x:c>
      <x:c r="H2" s="8" t="n">
        <x:f>COUNTIFS(Requirements!$B$2:$B$347,B2,Requirements!$H$2:$H$347,"Core")</x:f>
        <x:v>7</x:v>
      </x:c>
      <x:c r="I2" s="8" t="n">
        <x:f>COUNTIFS(Requirements!$B$2:$B$347,B2,Requirements!$H$2:$H$347,"Enterprise")</x:f>
        <x:v>6</x:v>
      </x:c>
      <x:c r="J2" s="8" t="n">
        <x:f>COUNTIFS(Requirements!$B$2:$B$347,B2,Requirements!$H$2:$H$347,"Expansion")</x:f>
        <x:v>1</x:v>
      </x:c>
      <x:c r="K2" s="8" t="n">
        <x:f>COUNTIFS(Requirements!$B$2:$B$347,B2,Requirements!$I$2:$I$347,"Done")</x:f>
        <x:v>0</x:v>
      </x:c>
      <x:c r="L2" s="12" t="n">
        <x:f>IFERROR(K2/D2,0)</x:f>
        <x:v>0</x:v>
      </x:c>
    </x:row>
    <x:row r="3" ht="48" customHeight="1">
      <x:c r="A3" s="8" t="str">
        <x:v>IAM</x:v>
      </x:c>
      <x:c r="B3" s="8" t="str">
        <x:v>Identity, membership, roles and authorization</x:v>
      </x:c>
      <x:c r="C3" s="8" t="str">
        <x:v>Authorization is enforced by a dedicated policy decision point across every application and API request. WordPress roles are integration conveniences, not the security boundary.</x:v>
      </x:c>
      <x:c r="D3" s="8" t="n">
        <x:f>COUNTIF(Requirements!$B$2:$B$347,B3)</x:f>
        <x:v>17</x:v>
      </x:c>
      <x:c r="E3" s="8" t="n">
        <x:f>COUNTIFS(Requirements!$B$2:$B$347,B3,Requirements!$G$2:$G$347,"Must")</x:f>
        <x:v>9</x:v>
      </x:c>
      <x:c r="F3" s="8" t="n">
        <x:f>COUNTIFS(Requirements!$B$2:$B$347,B3,Requirements!$G$2:$G$347,"Should")</x:f>
        <x:v>8</x:v>
      </x:c>
      <x:c r="G3" s="8" t="n">
        <x:f>COUNTIFS(Requirements!$B$2:$B$347,B3,Requirements!$G$2:$G$347,"Advanced")</x:f>
        <x:v>0</x:v>
      </x:c>
      <x:c r="H3" s="8" t="n">
        <x:f>COUNTIFS(Requirements!$B$2:$B$347,B3,Requirements!$H$2:$H$347,"Core")</x:f>
        <x:v>9</x:v>
      </x:c>
      <x:c r="I3" s="8" t="n">
        <x:f>COUNTIFS(Requirements!$B$2:$B$347,B3,Requirements!$H$2:$H$347,"Enterprise")</x:f>
        <x:v>8</x:v>
      </x:c>
      <x:c r="J3" s="8" t="n">
        <x:f>COUNTIFS(Requirements!$B$2:$B$347,B3,Requirements!$H$2:$H$347,"Expansion")</x:f>
        <x:v>0</x:v>
      </x:c>
      <x:c r="K3" s="8" t="n">
        <x:f>COUNTIFS(Requirements!$B$2:$B$347,B3,Requirements!$I$2:$I$347,"Done")</x:f>
        <x:v>0</x:v>
      </x:c>
      <x:c r="L3" s="12" t="n">
        <x:f>IFERROR(K3/D3,0)</x:f>
        <x:v>0</x:v>
      </x:c>
    </x:row>
    <x:row r="4" ht="48" customHeight="1">
      <x:c r="A4" s="8" t="str">
        <x:v>AUT</x:v>
      </x:c>
      <x:c r="B4" s="8" t="str">
        <x:v>Authentication, sessions and trusted devices</x:v>
      </x:c>
      <x:c r="C4" s="8" t="str">
        <x:v>Identity security covers internal staff, multi-subsidiary users, contractors and service principals, with phishing-resistant authentication on sensitive operations.</x:v>
      </x:c>
      <x:c r="D4" s="8" t="n">
        <x:f>COUNTIF(Requirements!$B$2:$B$347,B4)</x:f>
        <x:v>13</x:v>
      </x:c>
      <x:c r="E4" s="8" t="n">
        <x:f>COUNTIFS(Requirements!$B$2:$B$347,B4,Requirements!$G$2:$G$347,"Must")</x:f>
        <x:v>7</x:v>
      </x:c>
      <x:c r="F4" s="8" t="n">
        <x:f>COUNTIFS(Requirements!$B$2:$B$347,B4,Requirements!$G$2:$G$347,"Should")</x:f>
        <x:v>6</x:v>
      </x:c>
      <x:c r="G4" s="8" t="n">
        <x:f>COUNTIFS(Requirements!$B$2:$B$347,B4,Requirements!$G$2:$G$347,"Advanced")</x:f>
        <x:v>0</x:v>
      </x:c>
      <x:c r="H4" s="8" t="n">
        <x:f>COUNTIFS(Requirements!$B$2:$B$347,B4,Requirements!$H$2:$H$347,"Core")</x:f>
        <x:v>7</x:v>
      </x:c>
      <x:c r="I4" s="8" t="n">
        <x:f>COUNTIFS(Requirements!$B$2:$B$347,B4,Requirements!$H$2:$H$347,"Enterprise")</x:f>
        <x:v>6</x:v>
      </x:c>
      <x:c r="J4" s="8" t="n">
        <x:f>COUNTIFS(Requirements!$B$2:$B$347,B4,Requirements!$H$2:$H$347,"Expansion")</x:f>
        <x:v>0</x:v>
      </x:c>
      <x:c r="K4" s="8" t="n">
        <x:f>COUNTIFS(Requirements!$B$2:$B$347,B4,Requirements!$I$2:$I$347,"Done")</x:f>
        <x:v>0</x:v>
      </x:c>
      <x:c r="L4" s="12" t="n">
        <x:f>IFERROR(K4/D4,0)</x:f>
        <x:v>0</x:v>
      </x:c>
    </x:row>
    <x:row r="5" ht="48" customHeight="1">
      <x:c r="A5" s="8" t="str">
        <x:v>DOC</x:v>
      </x:c>
      <x:c r="B5" s="8" t="str">
        <x:v>Document capture, storage and lifecycle</x:v>
      </x:c>
      <x:c r="C5" s="8" t="str">
        <x:v>A secure enterprise repository must cover the complete file lifecycle, diverse intake channels and heterogeneous content without bypassing authorization.</x:v>
      </x:c>
      <x:c r="D5" s="8" t="n">
        <x:f>COUNTIF(Requirements!$B$2:$B$347,B5)</x:f>
        <x:v>22</x:v>
      </x:c>
      <x:c r="E5" s="8" t="n">
        <x:f>COUNTIFS(Requirements!$B$2:$B$347,B5,Requirements!$G$2:$G$347,"Must")</x:f>
        <x:v>11</x:v>
      </x:c>
      <x:c r="F5" s="8" t="n">
        <x:f>COUNTIFS(Requirements!$B$2:$B$347,B5,Requirements!$G$2:$G$347,"Should")</x:f>
        <x:v>10</x:v>
      </x:c>
      <x:c r="G5" s="8" t="n">
        <x:f>COUNTIFS(Requirements!$B$2:$B$347,B5,Requirements!$G$2:$G$347,"Advanced")</x:f>
        <x:v>1</x:v>
      </x:c>
      <x:c r="H5" s="8" t="n">
        <x:f>COUNTIFS(Requirements!$B$2:$B$347,B5,Requirements!$H$2:$H$347,"Core")</x:f>
        <x:v>11</x:v>
      </x:c>
      <x:c r="I5" s="8" t="n">
        <x:f>COUNTIFS(Requirements!$B$2:$B$347,B5,Requirements!$H$2:$H$347,"Enterprise")</x:f>
        <x:v>10</x:v>
      </x:c>
      <x:c r="J5" s="8" t="n">
        <x:f>COUNTIFS(Requirements!$B$2:$B$347,B5,Requirements!$H$2:$H$347,"Expansion")</x:f>
        <x:v>1</x:v>
      </x:c>
      <x:c r="K5" s="8" t="n">
        <x:f>COUNTIFS(Requirements!$B$2:$B$347,B5,Requirements!$I$2:$I$347,"Done")</x:f>
        <x:v>0</x:v>
      </x:c>
      <x:c r="L5" s="12" t="n">
        <x:f>IFERROR(K5/D5,0)</x:f>
        <x:v>0</x:v>
      </x:c>
    </x:row>
    <x:row r="6" ht="48" customHeight="1">
      <x:c r="A6" s="8" t="str">
        <x:v>MET</x:v>
      </x:c>
      <x:c r="B6" s="8" t="str">
        <x:v>Metadata, taxonomy and information discovery</x:v>
      </x:c>
      <x:c r="C6" s="8" t="str">
        <x:v>Discovery should emphasize accurate classification, subject-matter context, permission trimming and safe handling of encrypted content.</x:v>
      </x:c>
      <x:c r="D6" s="8" t="n">
        <x:f>COUNTIF(Requirements!$B$2:$B$347,B6)</x:f>
        <x:v>16</x:v>
      </x:c>
      <x:c r="E6" s="8" t="n">
        <x:f>COUNTIFS(Requirements!$B$2:$B$347,B6,Requirements!$G$2:$G$347,"Must")</x:f>
        <x:v>5</x:v>
      </x:c>
      <x:c r="F6" s="8" t="n">
        <x:f>COUNTIFS(Requirements!$B$2:$B$347,B6,Requirements!$G$2:$G$347,"Should")</x:f>
        <x:v>9</x:v>
      </x:c>
      <x:c r="G6" s="8" t="n">
        <x:f>COUNTIFS(Requirements!$B$2:$B$347,B6,Requirements!$G$2:$G$347,"Advanced")</x:f>
        <x:v>2</x:v>
      </x:c>
      <x:c r="H6" s="8" t="n">
        <x:f>COUNTIFS(Requirements!$B$2:$B$347,B6,Requirements!$H$2:$H$347,"Core")</x:f>
        <x:v>5</x:v>
      </x:c>
      <x:c r="I6" s="8" t="n">
        <x:f>COUNTIFS(Requirements!$B$2:$B$347,B6,Requirements!$H$2:$H$347,"Enterprise")</x:f>
        <x:v>9</x:v>
      </x:c>
      <x:c r="J6" s="8" t="n">
        <x:f>COUNTIFS(Requirements!$B$2:$B$347,B6,Requirements!$H$2:$H$347,"Expansion")</x:f>
        <x:v>2</x:v>
      </x:c>
      <x:c r="K6" s="8" t="n">
        <x:f>COUNTIFS(Requirements!$B$2:$B$347,B6,Requirements!$I$2:$I$347,"Done")</x:f>
        <x:v>0</x:v>
      </x:c>
      <x:c r="L6" s="12" t="n">
        <x:f>IFERROR(K6/D6,0)</x:f>
        <x:v>0</x:v>
      </x:c>
    </x:row>
    <x:row r="7" ht="48" customHeight="1">
      <x:c r="A7" s="8" t="str">
        <x:v>COL</x:v>
      </x:c>
      <x:c r="B7" s="8" t="str">
        <x:v>Editing, collaboration and version control</x:v>
      </x:c>
      <x:c r="C7" s="8" t="str">
        <x:v>Collaboration must retain precise version lineage and prevent comments, history or derived artifacts from escaping document-level security.</x:v>
      </x:c>
      <x:c r="D7" s="8" t="n">
        <x:f>COUNTIF(Requirements!$B$2:$B$347,B7)</x:f>
        <x:v>16</x:v>
      </x:c>
      <x:c r="E7" s="8" t="n">
        <x:f>COUNTIFS(Requirements!$B$2:$B$347,B7,Requirements!$G$2:$G$347,"Must")</x:f>
        <x:v>5</x:v>
      </x:c>
      <x:c r="F7" s="8" t="n">
        <x:f>COUNTIFS(Requirements!$B$2:$B$347,B7,Requirements!$G$2:$G$347,"Should")</x:f>
        <x:v>8</x:v>
      </x:c>
      <x:c r="G7" s="8" t="n">
        <x:f>COUNTIFS(Requirements!$B$2:$B$347,B7,Requirements!$G$2:$G$347,"Advanced")</x:f>
        <x:v>3</x:v>
      </x:c>
      <x:c r="H7" s="8" t="n">
        <x:f>COUNTIFS(Requirements!$B$2:$B$347,B7,Requirements!$H$2:$H$347,"Core")</x:f>
        <x:v>5</x:v>
      </x:c>
      <x:c r="I7" s="8" t="n">
        <x:f>COUNTIFS(Requirements!$B$2:$B$347,B7,Requirements!$H$2:$H$347,"Enterprise")</x:f>
        <x:v>8</x:v>
      </x:c>
      <x:c r="J7" s="8" t="n">
        <x:f>COUNTIFS(Requirements!$B$2:$B$347,B7,Requirements!$H$2:$H$347,"Expansion")</x:f>
        <x:v>3</x:v>
      </x:c>
      <x:c r="K7" s="8" t="n">
        <x:f>COUNTIFS(Requirements!$B$2:$B$347,B7,Requirements!$I$2:$I$347,"Done")</x:f>
        <x:v>0</x:v>
      </x:c>
      <x:c r="L7" s="12" t="n">
        <x:f>IFERROR(K7/D7,0)</x:f>
        <x:v>0</x:v>
      </x:c>
    </x:row>
    <x:row r="8" ht="48" customHeight="1">
      <x:c r="A8" s="8" t="str">
        <x:v>KNO</x:v>
      </x:c>
      <x:c r="B8" s="8" t="str">
        <x:v>Knowledge base, wiki and organizational learning</x:v>
      </x:c>
      <x:c r="C8" s="8" t="str">
        <x:v>Add first-class knowledge objects so the platform becomes more than a file repository.</x:v>
      </x:c>
      <x:c r="D8" s="8" t="n">
        <x:f>COUNTIF(Requirements!$B$2:$B$347,B8)</x:f>
        <x:v>16</x:v>
      </x:c>
      <x:c r="E8" s="8" t="n">
        <x:f>COUNTIFS(Requirements!$B$2:$B$347,B8,Requirements!$G$2:$G$347,"Must")</x:f>
        <x:v>4</x:v>
      </x:c>
      <x:c r="F8" s="8" t="n">
        <x:f>COUNTIFS(Requirements!$B$2:$B$347,B8,Requirements!$G$2:$G$347,"Should")</x:f>
        <x:v>11</x:v>
      </x:c>
      <x:c r="G8" s="8" t="n">
        <x:f>COUNTIFS(Requirements!$B$2:$B$347,B8,Requirements!$G$2:$G$347,"Advanced")</x:f>
        <x:v>1</x:v>
      </x:c>
      <x:c r="H8" s="8" t="n">
        <x:f>COUNTIFS(Requirements!$B$2:$B$347,B8,Requirements!$H$2:$H$347,"Core")</x:f>
        <x:v>4</x:v>
      </x:c>
      <x:c r="I8" s="8" t="n">
        <x:f>COUNTIFS(Requirements!$B$2:$B$347,B8,Requirements!$H$2:$H$347,"Enterprise")</x:f>
        <x:v>11</x:v>
      </x:c>
      <x:c r="J8" s="8" t="n">
        <x:f>COUNTIFS(Requirements!$B$2:$B$347,B8,Requirements!$H$2:$H$347,"Expansion")</x:f>
        <x:v>1</x:v>
      </x:c>
      <x:c r="K8" s="8" t="n">
        <x:f>COUNTIFS(Requirements!$B$2:$B$347,B8,Requirements!$I$2:$I$347,"Done")</x:f>
        <x:v>0</x:v>
      </x:c>
      <x:c r="L8" s="12" t="n">
        <x:f>IFERROR(K8/D8,0)</x:f>
        <x:v>0</x:v>
      </x:c>
    </x:row>
    <x:row r="9" ht="48" customHeight="1">
      <x:c r="A9" s="8" t="str">
        <x:v>WFL</x:v>
      </x:c>
      <x:c r="B9" s="8" t="str">
        <x:v>Workflow engine, approvals and business process automation</x:v>
      </x:c>
      <x:c r="C9" s="8" t="str">
        <x:v>Workflows govern how documents move between creators, reviewers, approvers, publishers, records managers and external counterparties.</x:v>
      </x:c>
      <x:c r="D9" s="8" t="n">
        <x:f>COUNTIF(Requirements!$B$2:$B$347,B9)</x:f>
        <x:v>19</x:v>
      </x:c>
      <x:c r="E9" s="8" t="n">
        <x:f>COUNTIFS(Requirements!$B$2:$B$347,B9,Requirements!$G$2:$G$347,"Must")</x:f>
        <x:v>4</x:v>
      </x:c>
      <x:c r="F9" s="8" t="n">
        <x:f>COUNTIFS(Requirements!$B$2:$B$347,B9,Requirements!$G$2:$G$347,"Should")</x:f>
        <x:v>13</x:v>
      </x:c>
      <x:c r="G9" s="8" t="n">
        <x:f>COUNTIFS(Requirements!$B$2:$B$347,B9,Requirements!$G$2:$G$347,"Advanced")</x:f>
        <x:v>2</x:v>
      </x:c>
      <x:c r="H9" s="8" t="n">
        <x:f>COUNTIFS(Requirements!$B$2:$B$347,B9,Requirements!$H$2:$H$347,"Core")</x:f>
        <x:v>4</x:v>
      </x:c>
      <x:c r="I9" s="8" t="n">
        <x:f>COUNTIFS(Requirements!$B$2:$B$347,B9,Requirements!$H$2:$H$347,"Enterprise")</x:f>
        <x:v>13</x:v>
      </x:c>
      <x:c r="J9" s="8" t="n">
        <x:f>COUNTIFS(Requirements!$B$2:$B$347,B9,Requirements!$H$2:$H$347,"Expansion")</x:f>
        <x:v>2</x:v>
      </x:c>
      <x:c r="K9" s="8" t="n">
        <x:f>COUNTIFS(Requirements!$B$2:$B$347,B9,Requirements!$I$2:$I$347,"Done")</x:f>
        <x:v>0</x:v>
      </x:c>
      <x:c r="L9" s="12" t="n">
        <x:f>IFERROR(K9/D9,0)</x:f>
        <x:v>0</x:v>
      </x:c>
    </x:row>
    <x:row r="10" ht="48" customHeight="1">
      <x:c r="A10" s="8" t="str">
        <x:v>REC</x:v>
      </x:c>
      <x:c r="B10" s="8" t="str">
        <x:v>Records governance, retention, legal hold and eDiscovery</x:v>
      </x:c>
      <x:c r="C10" s="8" t="str">
        <x:v>Records management enforces preservation, disposition and defensible evidence without conflating archives with backups.</x:v>
      </x:c>
      <x:c r="D10" s="8" t="n">
        <x:f>COUNTIF(Requirements!$B$2:$B$347,B10)</x:f>
        <x:v>18</x:v>
      </x:c>
      <x:c r="E10" s="8" t="n">
        <x:f>COUNTIFS(Requirements!$B$2:$B$347,B10,Requirements!$G$2:$G$347,"Must")</x:f>
        <x:v>5</x:v>
      </x:c>
      <x:c r="F10" s="8" t="n">
        <x:f>COUNTIFS(Requirements!$B$2:$B$347,B10,Requirements!$G$2:$G$347,"Should")</x:f>
        <x:v>12</x:v>
      </x:c>
      <x:c r="G10" s="8" t="n">
        <x:f>COUNTIFS(Requirements!$B$2:$B$347,B10,Requirements!$G$2:$G$347,"Advanced")</x:f>
        <x:v>1</x:v>
      </x:c>
      <x:c r="H10" s="8" t="n">
        <x:f>COUNTIFS(Requirements!$B$2:$B$347,B10,Requirements!$H$2:$H$347,"Core")</x:f>
        <x:v>5</x:v>
      </x:c>
      <x:c r="I10" s="8" t="n">
        <x:f>COUNTIFS(Requirements!$B$2:$B$347,B10,Requirements!$H$2:$H$347,"Enterprise")</x:f>
        <x:v>12</x:v>
      </x:c>
      <x:c r="J10" s="8" t="n">
        <x:f>COUNTIFS(Requirements!$B$2:$B$347,B10,Requirements!$H$2:$H$347,"Expansion")</x:f>
        <x:v>1</x:v>
      </x:c>
      <x:c r="K10" s="8" t="n">
        <x:f>COUNTIFS(Requirements!$B$2:$B$347,B10,Requirements!$I$2:$I$347,"Done")</x:f>
        <x:v>0</x:v>
      </x:c>
      <x:c r="L10" s="12" t="n">
        <x:f>IFERROR(K10/D10,0)</x:f>
        <x:v>0</x:v>
      </x:c>
    </x:row>
    <x:row r="11" ht="48" customHeight="1">
      <x:c r="A11" s="8" t="str">
        <x:v>ENC</x:v>
      </x:c>
      <x:c r="B11" s="8" t="str">
        <x:v>Cryptography, zero-knowledge mode and key management</x:v>
      </x:c>
      <x:c r="C11" s="8" t="str">
        <x:v>The architecture must differentiate encryption at rest, managed decryption services and zero-knowledge client-side access. No security claim is stronger than the actual key boundary.</x:v>
      </x:c>
      <x:c r="D11" s="8" t="n">
        <x:f>COUNTIF(Requirements!$B$2:$B$347,B11)</x:f>
        <x:v>20</x:v>
      </x:c>
      <x:c r="E11" s="8" t="n">
        <x:f>COUNTIFS(Requirements!$B$2:$B$347,B11,Requirements!$G$2:$G$347,"Must")</x:f>
        <x:v>15</x:v>
      </x:c>
      <x:c r="F11" s="8" t="n">
        <x:f>COUNTIFS(Requirements!$B$2:$B$347,B11,Requirements!$G$2:$G$347,"Should")</x:f>
        <x:v>5</x:v>
      </x:c>
      <x:c r="G11" s="8" t="n">
        <x:f>COUNTIFS(Requirements!$B$2:$B$347,B11,Requirements!$G$2:$G$347,"Advanced")</x:f>
        <x:v>0</x:v>
      </x:c>
      <x:c r="H11" s="8" t="n">
        <x:f>COUNTIFS(Requirements!$B$2:$B$347,B11,Requirements!$H$2:$H$347,"Core")</x:f>
        <x:v>15</x:v>
      </x:c>
      <x:c r="I11" s="8" t="n">
        <x:f>COUNTIFS(Requirements!$B$2:$B$347,B11,Requirements!$H$2:$H$347,"Enterprise")</x:f>
        <x:v>5</x:v>
      </x:c>
      <x:c r="J11" s="8" t="n">
        <x:f>COUNTIFS(Requirements!$B$2:$B$347,B11,Requirements!$H$2:$H$347,"Expansion")</x:f>
        <x:v>0</x:v>
      </x:c>
      <x:c r="K11" s="8" t="n">
        <x:f>COUNTIFS(Requirements!$B$2:$B$347,B11,Requirements!$I$2:$I$347,"Done")</x:f>
        <x:v>0</x:v>
      </x:c>
      <x:c r="L11" s="12" t="n">
        <x:f>IFERROR(K11/D11,0)</x:f>
        <x:v>0</x:v>
      </x:c>
    </x:row>
    <x:row r="12" ht="48" customHeight="1">
      <x:c r="A12" s="8" t="str">
        <x:v>SEC</x:v>
      </x:c>
      <x:c r="B12" s="8" t="str">
        <x:v>Security operations, DLP and active threat defense</x:v>
      </x:c>
      <x:c r="C12" s="8" t="str">
        <x:v>Defense-in-depth complements encryption with prevention, detection, containment and incident response.</x:v>
      </x:c>
      <x:c r="D12" s="8" t="n">
        <x:f>COUNTIF(Requirements!$B$2:$B$347,B12)</x:f>
        <x:v>16</x:v>
      </x:c>
      <x:c r="E12" s="8" t="n">
        <x:f>COUNTIFS(Requirements!$B$2:$B$347,B12,Requirements!$G$2:$G$347,"Must")</x:f>
        <x:v>9</x:v>
      </x:c>
      <x:c r="F12" s="8" t="n">
        <x:f>COUNTIFS(Requirements!$B$2:$B$347,B12,Requirements!$G$2:$G$347,"Should")</x:f>
        <x:v>7</x:v>
      </x:c>
      <x:c r="G12" s="8" t="n">
        <x:f>COUNTIFS(Requirements!$B$2:$B$347,B12,Requirements!$G$2:$G$347,"Advanced")</x:f>
        <x:v>0</x:v>
      </x:c>
      <x:c r="H12" s="8" t="n">
        <x:f>COUNTIFS(Requirements!$B$2:$B$347,B12,Requirements!$H$2:$H$347,"Core")</x:f>
        <x:v>9</x:v>
      </x:c>
      <x:c r="I12" s="8" t="n">
        <x:f>COUNTIFS(Requirements!$B$2:$B$347,B12,Requirements!$H$2:$H$347,"Enterprise")</x:f>
        <x:v>7</x:v>
      </x:c>
      <x:c r="J12" s="8" t="n">
        <x:f>COUNTIFS(Requirements!$B$2:$B$347,B12,Requirements!$H$2:$H$347,"Expansion")</x:f>
        <x:v>0</x:v>
      </x:c>
      <x:c r="K12" s="8" t="n">
        <x:f>COUNTIFS(Requirements!$B$2:$B$347,B12,Requirements!$I$2:$I$347,"Done")</x:f>
        <x:v>0</x:v>
      </x:c>
      <x:c r="L12" s="12" t="n">
        <x:f>IFERROR(K12/D12,0)</x:f>
        <x:v>0</x:v>
      </x:c>
    </x:row>
    <x:row r="13" ht="48" customHeight="1">
      <x:c r="A13" s="8" t="str">
        <x:v>EXT</x:v>
      </x:c>
      <x:c r="B13" s="8" t="str">
        <x:v>External collaboration and secure information exchange</x:v>
      </x:c>
      <x:c r="C13" s="8" t="str">
        <x:v>External exchange must balance business needs with recipient verification, encryption boundaries and revocation transparency.</x:v>
      </x:c>
      <x:c r="D13" s="8" t="n">
        <x:f>COUNTIF(Requirements!$B$2:$B$347,B13)</x:f>
        <x:v>13</x:v>
      </x:c>
      <x:c r="E13" s="8" t="n">
        <x:f>COUNTIFS(Requirements!$B$2:$B$347,B13,Requirements!$G$2:$G$347,"Must")</x:f>
        <x:v>4</x:v>
      </x:c>
      <x:c r="F13" s="8" t="n">
        <x:f>COUNTIFS(Requirements!$B$2:$B$347,B13,Requirements!$G$2:$G$347,"Should")</x:f>
        <x:v>7</x:v>
      </x:c>
      <x:c r="G13" s="8" t="n">
        <x:f>COUNTIFS(Requirements!$B$2:$B$347,B13,Requirements!$G$2:$G$347,"Advanced")</x:f>
        <x:v>2</x:v>
      </x:c>
      <x:c r="H13" s="8" t="n">
        <x:f>COUNTIFS(Requirements!$B$2:$B$347,B13,Requirements!$H$2:$H$347,"Core")</x:f>
        <x:v>4</x:v>
      </x:c>
      <x:c r="I13" s="8" t="n">
        <x:f>COUNTIFS(Requirements!$B$2:$B$347,B13,Requirements!$H$2:$H$347,"Enterprise")</x:f>
        <x:v>7</x:v>
      </x:c>
      <x:c r="J13" s="8" t="n">
        <x:f>COUNTIFS(Requirements!$B$2:$B$347,B13,Requirements!$H$2:$H$347,"Expansion")</x:f>
        <x:v>2</x:v>
      </x:c>
      <x:c r="K13" s="8" t="n">
        <x:f>COUNTIFS(Requirements!$B$2:$B$347,B13,Requirements!$I$2:$I$347,"Done")</x:f>
        <x:v>0</x:v>
      </x:c>
      <x:c r="L13" s="12" t="n">
        <x:f>IFERROR(K13/D13,0)</x:f>
        <x:v>0</x:v>
      </x:c>
    </x:row>
    <x:row r="14" ht="48" customHeight="1">
      <x:c r="A14" s="8" t="str">
        <x:v>RPT</x:v>
      </x:c>
      <x:c r="B14" s="8" t="str">
        <x:v>Audit trails, reporting, analytics and oversight</x:v>
      </x:c>
      <x:c r="C14" s="8" t="str">
        <x:v>Every meaningful decision and data access needs reviewable evidence, while aggregate reporting must not create a metadata side channel.</x:v>
      </x:c>
      <x:c r="D14" s="8" t="n">
        <x:f>COUNTIF(Requirements!$B$2:$B$347,B14)</x:f>
        <x:v>14</x:v>
      </x:c>
      <x:c r="E14" s="8" t="n">
        <x:f>COUNTIFS(Requirements!$B$2:$B$347,B14,Requirements!$G$2:$G$347,"Must")</x:f>
        <x:v>5</x:v>
      </x:c>
      <x:c r="F14" s="8" t="n">
        <x:f>COUNTIFS(Requirements!$B$2:$B$347,B14,Requirements!$G$2:$G$347,"Should")</x:f>
        <x:v>8</x:v>
      </x:c>
      <x:c r="G14" s="8" t="n">
        <x:f>COUNTIFS(Requirements!$B$2:$B$347,B14,Requirements!$G$2:$G$347,"Advanced")</x:f>
        <x:v>1</x:v>
      </x:c>
      <x:c r="H14" s="8" t="n">
        <x:f>COUNTIFS(Requirements!$B$2:$B$347,B14,Requirements!$H$2:$H$347,"Core")</x:f>
        <x:v>5</x:v>
      </x:c>
      <x:c r="I14" s="8" t="n">
        <x:f>COUNTIFS(Requirements!$B$2:$B$347,B14,Requirements!$H$2:$H$347,"Enterprise")</x:f>
        <x:v>8</x:v>
      </x:c>
      <x:c r="J14" s="8" t="n">
        <x:f>COUNTIFS(Requirements!$B$2:$B$347,B14,Requirements!$H$2:$H$347,"Expansion")</x:f>
        <x:v>1</x:v>
      </x:c>
      <x:c r="K14" s="8" t="n">
        <x:f>COUNTIFS(Requirements!$B$2:$B$347,B14,Requirements!$I$2:$I$347,"Done")</x:f>
        <x:v>0</x:v>
      </x:c>
      <x:c r="L14" s="12" t="n">
        <x:f>IFERROR(K14/D14,0)</x:f>
        <x:v>0</x:v>
      </x:c>
    </x:row>
    <x:row r="15" ht="48" customHeight="1">
      <x:c r="A15" s="8" t="str">
        <x:v>AIX</x:v>
      </x:c>
      <x:c r="B15" s="8" t="str">
        <x:v>Privacy-aware AI, intelligence and automation</x:v>
      </x:c>
      <x:c r="C15" s="8" t="str">
        <x:v>AI is optional and must honor both authorization and encryption boundaries; it is not a justification to weaken protected document handling.</x:v>
      </x:c>
      <x:c r="D15" s="8" t="n">
        <x:f>COUNTIF(Requirements!$B$2:$B$347,B15)</x:f>
        <x:v>17</x:v>
      </x:c>
      <x:c r="E15" s="8" t="n">
        <x:f>COUNTIFS(Requirements!$B$2:$B$347,B15,Requirements!$G$2:$G$347,"Must")</x:f>
        <x:v>3</x:v>
      </x:c>
      <x:c r="F15" s="8" t="n">
        <x:f>COUNTIFS(Requirements!$B$2:$B$347,B15,Requirements!$G$2:$G$347,"Should")</x:f>
        <x:v>12</x:v>
      </x:c>
      <x:c r="G15" s="8" t="n">
        <x:f>COUNTIFS(Requirements!$B$2:$B$347,B15,Requirements!$G$2:$G$347,"Advanced")</x:f>
        <x:v>2</x:v>
      </x:c>
      <x:c r="H15" s="8" t="n">
        <x:f>COUNTIFS(Requirements!$B$2:$B$347,B15,Requirements!$H$2:$H$347,"Core")</x:f>
        <x:v>3</x:v>
      </x:c>
      <x:c r="I15" s="8" t="n">
        <x:f>COUNTIFS(Requirements!$B$2:$B$347,B15,Requirements!$H$2:$H$347,"Enterprise")</x:f>
        <x:v>12</x:v>
      </x:c>
      <x:c r="J15" s="8" t="n">
        <x:f>COUNTIFS(Requirements!$B$2:$B$347,B15,Requirements!$H$2:$H$347,"Expansion")</x:f>
        <x:v>2</x:v>
      </x:c>
      <x:c r="K15" s="8" t="n">
        <x:f>COUNTIFS(Requirements!$B$2:$B$347,B15,Requirements!$I$2:$I$347,"Done")</x:f>
        <x:v>0</x:v>
      </x:c>
      <x:c r="L15" s="12" t="n">
        <x:f>IFERROR(K15/D15,0)</x:f>
        <x:v>0</x:v>
      </x:c>
    </x:row>
    <x:row r="16" ht="48" customHeight="1">
      <x:c r="A16" s="8" t="str">
        <x:v>L10</x:v>
      </x:c>
      <x:c r="B16" s="8" t="str">
        <x:v>Internationalization, languages and accessibility</x:v>
      </x:c>
      <x:c r="C16" s="8" t="str">
        <x:v>All 13 requested languages must be available for the interface and lifecycle communications; localization is different from translating private document bodies.</x:v>
      </x:c>
      <x:c r="D16" s="8" t="n">
        <x:f>COUNTIF(Requirements!$B$2:$B$347,B16)</x:f>
        <x:v>15</x:v>
      </x:c>
      <x:c r="E16" s="8" t="n">
        <x:f>COUNTIFS(Requirements!$B$2:$B$347,B16,Requirements!$G$2:$G$347,"Must")</x:f>
        <x:v>11</x:v>
      </x:c>
      <x:c r="F16" s="8" t="n">
        <x:f>COUNTIFS(Requirements!$B$2:$B$347,B16,Requirements!$G$2:$G$347,"Should")</x:f>
        <x:v>4</x:v>
      </x:c>
      <x:c r="G16" s="8" t="n">
        <x:f>COUNTIFS(Requirements!$B$2:$B$347,B16,Requirements!$G$2:$G$347,"Advanced")</x:f>
        <x:v>0</x:v>
      </x:c>
      <x:c r="H16" s="8" t="n">
        <x:f>COUNTIFS(Requirements!$B$2:$B$347,B16,Requirements!$H$2:$H$347,"Core")</x:f>
        <x:v>11</x:v>
      </x:c>
      <x:c r="I16" s="8" t="n">
        <x:f>COUNTIFS(Requirements!$B$2:$B$347,B16,Requirements!$H$2:$H$347,"Enterprise")</x:f>
        <x:v>4</x:v>
      </x:c>
      <x:c r="J16" s="8" t="n">
        <x:f>COUNTIFS(Requirements!$B$2:$B$347,B16,Requirements!$H$2:$H$347,"Expansion")</x:f>
        <x:v>0</x:v>
      </x:c>
      <x:c r="K16" s="8" t="n">
        <x:f>COUNTIFS(Requirements!$B$2:$B$347,B16,Requirements!$I$2:$I$347,"Done")</x:f>
        <x:v>0</x:v>
      </x:c>
      <x:c r="L16" s="12" t="n">
        <x:f>IFERROR(K16/D16,0)</x:f>
        <x:v>0</x:v>
      </x:c>
    </x:row>
    <x:row r="17" ht="48" customHeight="1">
      <x:c r="A17" s="8" t="str">
        <x:v>API</x:v>
      </x:c>
      <x:c r="B17" s="8" t="str">
        <x:v>Integrations, APIs, automation and interoperability</x:v>
      </x:c>
      <x:c r="C17" s="8" t="str">
        <x:v>Expose a stable, least-privilege integration surface independent of the WordPress UI and with rigorous versioning and tenant limits.</x:v>
      </x:c>
      <x:c r="D17" s="8" t="n">
        <x:f>COUNTIF(Requirements!$B$2:$B$347,B17)</x:f>
        <x:v>17</x:v>
      </x:c>
      <x:c r="E17" s="8" t="n">
        <x:f>COUNTIFS(Requirements!$B$2:$B$347,B17,Requirements!$G$2:$G$347,"Must")</x:f>
        <x:v>4</x:v>
      </x:c>
      <x:c r="F17" s="8" t="n">
        <x:f>COUNTIFS(Requirements!$B$2:$B$347,B17,Requirements!$G$2:$G$347,"Should")</x:f>
        <x:v>10</x:v>
      </x:c>
      <x:c r="G17" s="8" t="n">
        <x:f>COUNTIFS(Requirements!$B$2:$B$347,B17,Requirements!$G$2:$G$347,"Advanced")</x:f>
        <x:v>3</x:v>
      </x:c>
      <x:c r="H17" s="8" t="n">
        <x:f>COUNTIFS(Requirements!$B$2:$B$347,B17,Requirements!$H$2:$H$347,"Core")</x:f>
        <x:v>4</x:v>
      </x:c>
      <x:c r="I17" s="8" t="n">
        <x:f>COUNTIFS(Requirements!$B$2:$B$347,B17,Requirements!$H$2:$H$347,"Enterprise")</x:f>
        <x:v>10</x:v>
      </x:c>
      <x:c r="J17" s="8" t="n">
        <x:f>COUNTIFS(Requirements!$B$2:$B$347,B17,Requirements!$H$2:$H$347,"Expansion")</x:f>
        <x:v>3</x:v>
      </x:c>
      <x:c r="K17" s="8" t="n">
        <x:f>COUNTIFS(Requirements!$B$2:$B$347,B17,Requirements!$I$2:$I$347,"Done")</x:f>
        <x:v>0</x:v>
      </x:c>
      <x:c r="L17" s="12" t="n">
        <x:f>IFERROR(K17/D17,0)</x:f>
        <x:v>0</x:v>
      </x:c>
    </x:row>
    <x:row r="18" ht="48" customHeight="1">
      <x:c r="A18" s="8" t="str">
        <x:v>UX</x:v>
      </x:c>
      <x:c r="B18" s="8" t="str">
        <x:v>Experience, productivity and configurable workspaces</x:v>
      </x:c>
      <x:c r="C18" s="8" t="str">
        <x:v>The product must be understandable to nontechnical users while making sensitive context, effective permissions and document status obvious.</x:v>
      </x:c>
      <x:c r="D18" s="8" t="n">
        <x:f>COUNTIF(Requirements!$B$2:$B$347,B18)</x:f>
        <x:v>13</x:v>
      </x:c>
      <x:c r="E18" s="8" t="n">
        <x:f>COUNTIFS(Requirements!$B$2:$B$347,B18,Requirements!$G$2:$G$347,"Must")</x:f>
        <x:v>4</x:v>
      </x:c>
      <x:c r="F18" s="8" t="n">
        <x:f>COUNTIFS(Requirements!$B$2:$B$347,B18,Requirements!$G$2:$G$347,"Should")</x:f>
        <x:v>8</x:v>
      </x:c>
      <x:c r="G18" s="8" t="n">
        <x:f>COUNTIFS(Requirements!$B$2:$B$347,B18,Requirements!$G$2:$G$347,"Advanced")</x:f>
        <x:v>1</x:v>
      </x:c>
      <x:c r="H18" s="8" t="n">
        <x:f>COUNTIFS(Requirements!$B$2:$B$347,B18,Requirements!$H$2:$H$347,"Core")</x:f>
        <x:v>4</x:v>
      </x:c>
      <x:c r="I18" s="8" t="n">
        <x:f>COUNTIFS(Requirements!$B$2:$B$347,B18,Requirements!$H$2:$H$347,"Enterprise")</x:f>
        <x:v>8</x:v>
      </x:c>
      <x:c r="J18" s="8" t="n">
        <x:f>COUNTIFS(Requirements!$B$2:$B$347,B18,Requirements!$H$2:$H$347,"Expansion")</x:f>
        <x:v>1</x:v>
      </x:c>
      <x:c r="K18" s="8" t="n">
        <x:f>COUNTIFS(Requirements!$B$2:$B$347,B18,Requirements!$I$2:$I$347,"Done")</x:f>
        <x:v>0</x:v>
      </x:c>
      <x:c r="L18" s="12" t="n">
        <x:f>IFERROR(K18/D18,0)</x:f>
        <x:v>0</x:v>
      </x:c>
    </x:row>
    <x:row r="19" ht="48" customHeight="1">
      <x:c r="A19" s="8" t="str">
        <x:v>MOB</x:v>
      </x:c>
      <x:c r="B19" s="8" t="str">
        <x:v>Mobile, desktop, offline and endpoint experience</x:v>
      </x:c>
      <x:c r="C19" s="8" t="str">
        <x:v>Sensitive content use on endpoints needs client-native protections, documented offline behavior and isolation from compromised WordPress delivery paths.</x:v>
      </x:c>
      <x:c r="D19" s="8" t="n">
        <x:f>COUNTIF(Requirements!$B$2:$B$347,B19)</x:f>
        <x:v>12</x:v>
      </x:c>
      <x:c r="E19" s="8" t="n">
        <x:f>COUNTIFS(Requirements!$B$2:$B$347,B19,Requirements!$G$2:$G$347,"Must")</x:f>
        <x:v>4</x:v>
      </x:c>
      <x:c r="F19" s="8" t="n">
        <x:f>COUNTIFS(Requirements!$B$2:$B$347,B19,Requirements!$G$2:$G$347,"Should")</x:f>
        <x:v>7</x:v>
      </x:c>
      <x:c r="G19" s="8" t="n">
        <x:f>COUNTIFS(Requirements!$B$2:$B$347,B19,Requirements!$G$2:$G$347,"Advanced")</x:f>
        <x:v>1</x:v>
      </x:c>
      <x:c r="H19" s="8" t="n">
        <x:f>COUNTIFS(Requirements!$B$2:$B$347,B19,Requirements!$H$2:$H$347,"Core")</x:f>
        <x:v>4</x:v>
      </x:c>
      <x:c r="I19" s="8" t="n">
        <x:f>COUNTIFS(Requirements!$B$2:$B$347,B19,Requirements!$H$2:$H$347,"Enterprise")</x:f>
        <x:v>7</x:v>
      </x:c>
      <x:c r="J19" s="8" t="n">
        <x:f>COUNTIFS(Requirements!$B$2:$B$347,B19,Requirements!$H$2:$H$347,"Expansion")</x:f>
        <x:v>1</x:v>
      </x:c>
      <x:c r="K19" s="8" t="n">
        <x:f>COUNTIFS(Requirements!$B$2:$B$347,B19,Requirements!$I$2:$I$347,"Done")</x:f>
        <x:v>0</x:v>
      </x:c>
      <x:c r="L19" s="12" t="n">
        <x:f>IFERROR(K19/D19,0)</x:f>
        <x:v>0</x:v>
      </x:c>
    </x:row>
    <x:row r="20" ht="48" customHeight="1">
      <x:c r="A20" s="8" t="str">
        <x:v>PRV</x:v>
      </x:c>
      <x:c r="B20" s="8" t="str">
        <x:v>Privacy, compliance, residency and lawful processing</x:v>
      </x:c>
      <x:c r="C20" s="8" t="str">
        <x:v>Compliance is a continuing organizational process. The software should provide controls and evidence but cannot itself certify that every deployment complies with every law.</x:v>
      </x:c>
      <x:c r="D20" s="8" t="n">
        <x:f>COUNTIF(Requirements!$B$2:$B$347,B20)</x:f>
        <x:v>14</x:v>
      </x:c>
      <x:c r="E20" s="8" t="n">
        <x:f>COUNTIFS(Requirements!$B$2:$B$347,B20,Requirements!$G$2:$G$347,"Must")</x:f>
        <x:v>4</x:v>
      </x:c>
      <x:c r="F20" s="8" t="n">
        <x:f>COUNTIFS(Requirements!$B$2:$B$347,B20,Requirements!$G$2:$G$347,"Should")</x:f>
        <x:v>10</x:v>
      </x:c>
      <x:c r="G20" s="8" t="n">
        <x:f>COUNTIFS(Requirements!$B$2:$B$347,B20,Requirements!$G$2:$G$347,"Advanced")</x:f>
        <x:v>0</x:v>
      </x:c>
      <x:c r="H20" s="8" t="n">
        <x:f>COUNTIFS(Requirements!$B$2:$B$347,B20,Requirements!$H$2:$H$347,"Core")</x:f>
        <x:v>4</x:v>
      </x:c>
      <x:c r="I20" s="8" t="n">
        <x:f>COUNTIFS(Requirements!$B$2:$B$347,B20,Requirements!$H$2:$H$347,"Enterprise")</x:f>
        <x:v>10</x:v>
      </x:c>
      <x:c r="J20" s="8" t="n">
        <x:f>COUNTIFS(Requirements!$B$2:$B$347,B20,Requirements!$H$2:$H$347,"Expansion")</x:f>
        <x:v>0</x:v>
      </x:c>
      <x:c r="K20" s="8" t="n">
        <x:f>COUNTIFS(Requirements!$B$2:$B$347,B20,Requirements!$I$2:$I$347,"Done")</x:f>
        <x:v>0</x:v>
      </x:c>
      <x:c r="L20" s="12" t="n">
        <x:f>IFERROR(K20/D20,0)</x:f>
        <x:v>0</x:v>
      </x:c>
    </x:row>
    <x:row r="21" ht="48" customHeight="1">
      <x:c r="A21" s="8" t="str">
        <x:v>OPS</x:v>
      </x:c>
      <x:c r="B21" s="8" t="str">
        <x:v>Reliability, deployment, operations and quality engineering</x:v>
      </x:c>
      <x:c r="C21" s="8" t="str">
        <x:v>High availability and quality are measurable engineering outcomes, not adjectives. Proposed targets must be confirmed through capacity planning, testing and service contracts.</x:v>
      </x:c>
      <x:c r="D21" s="8" t="n">
        <x:f>COUNTIF(Requirements!$B$2:$B$347,B21)</x:f>
        <x:v>21</x:v>
      </x:c>
      <x:c r="E21" s="8" t="n">
        <x:f>COUNTIFS(Requirements!$B$2:$B$347,B21,Requirements!$G$2:$G$347,"Must")</x:f>
        <x:v>14</x:v>
      </x:c>
      <x:c r="F21" s="8" t="n">
        <x:f>COUNTIFS(Requirements!$B$2:$B$347,B21,Requirements!$G$2:$G$347,"Should")</x:f>
        <x:v>6</x:v>
      </x:c>
      <x:c r="G21" s="8" t="n">
        <x:f>COUNTIFS(Requirements!$B$2:$B$347,B21,Requirements!$G$2:$G$347,"Advanced")</x:f>
        <x:v>1</x:v>
      </x:c>
      <x:c r="H21" s="8" t="n">
        <x:f>COUNTIFS(Requirements!$B$2:$B$347,B21,Requirements!$H$2:$H$347,"Core")</x:f>
        <x:v>14</x:v>
      </x:c>
      <x:c r="I21" s="8" t="n">
        <x:f>COUNTIFS(Requirements!$B$2:$B$347,B21,Requirements!$H$2:$H$347,"Enterprise")</x:f>
        <x:v>6</x:v>
      </x:c>
      <x:c r="J21" s="8" t="n">
        <x:f>COUNTIFS(Requirements!$B$2:$B$347,B21,Requirements!$H$2:$H$347,"Expansion")</x:f>
        <x:v>1</x:v>
      </x:c>
      <x:c r="K21" s="8" t="n">
        <x:f>COUNTIFS(Requirements!$B$2:$B$347,B21,Requirements!$I$2:$I$347,"Done")</x:f>
        <x:v>0</x:v>
      </x:c>
      <x:c r="L21" s="12" t="n">
        <x:f>IFERROR(K21/D21,0)</x:f>
        <x:v>0</x:v>
      </x:c>
    </x:row>
    <x:row r="22" ht="48" customHeight="1">
      <x:c r="A22" s="8" t="str">
        <x:v>MIG</x:v>
      </x:c>
      <x:c r="B22" s="8" t="str">
        <x:v>Onboarding, migration, adoption and support</x:v>
      </x:c>
      <x:c r="C22" s="8" t="str">
        <x:v>A superior platform must convert legacy knowledge into governed records and help subsidiaries manage change safely.</x:v>
      </x:c>
      <x:c r="D22" s="8" t="n">
        <x:f>COUNTIF(Requirements!$B$2:$B$347,B22)</x:f>
        <x:v>13</x:v>
      </x:c>
      <x:c r="E22" s="8" t="n">
        <x:f>COUNTIFS(Requirements!$B$2:$B$347,B22,Requirements!$G$2:$G$347,"Must")</x:f>
        <x:v>6</x:v>
      </x:c>
      <x:c r="F22" s="8" t="n">
        <x:f>COUNTIFS(Requirements!$B$2:$B$347,B22,Requirements!$G$2:$G$347,"Should")</x:f>
        <x:v>7</x:v>
      </x:c>
      <x:c r="G22" s="8" t="n">
        <x:f>COUNTIFS(Requirements!$B$2:$B$347,B22,Requirements!$G$2:$G$347,"Advanced")</x:f>
        <x:v>0</x:v>
      </x:c>
      <x:c r="H22" s="8" t="n">
        <x:f>COUNTIFS(Requirements!$B$2:$B$347,B22,Requirements!$H$2:$H$347,"Core")</x:f>
        <x:v>6</x:v>
      </x:c>
      <x:c r="I22" s="8" t="n">
        <x:f>COUNTIFS(Requirements!$B$2:$B$347,B22,Requirements!$H$2:$H$347,"Enterprise")</x:f>
        <x:v>7</x:v>
      </x:c>
      <x:c r="J22" s="8" t="n">
        <x:f>COUNTIFS(Requirements!$B$2:$B$347,B22,Requirements!$H$2:$H$347,"Expansion")</x:f>
        <x:v>0</x:v>
      </x:c>
      <x:c r="K22" s="8" t="n">
        <x:f>COUNTIFS(Requirements!$B$2:$B$347,B22,Requirements!$I$2:$I$347,"Done")</x:f>
        <x:v>0</x:v>
      </x:c>
      <x:c r="L22" s="12" t="n">
        <x:f>IFERROR(K22/D22,0)</x:f>
        <x:v>0</x:v>
      </x:c>
    </x:row>
    <x:row r="23" ht="48" customHeight="1">
      <x:c r="A23" s="8" t="str">
        <x:v>VRP</x:v>
      </x:c>
      <x:c r="B23" s="8" t="str">
        <x:v>Specialized enterprise modules and future differentiation</x:v>
      </x:c>
      <x:c r="C23" s="8" t="str">
        <x:v>Optional vertical modules increase breadth but must reuse the same secure repository, policy engine and information-governance framework.</x:v>
      </x:c>
      <x:c r="D23" s="8" t="n">
        <x:f>COUNTIF(Requirements!$B$2:$B$347,B23)</x:f>
        <x:v>10</x:v>
      </x:c>
      <x:c r="E23" s="8" t="n">
        <x:f>COUNTIFS(Requirements!$B$2:$B$347,B23,Requirements!$G$2:$G$347,"Must")</x:f>
        <x:v>0</x:v>
      </x:c>
      <x:c r="F23" s="8" t="n">
        <x:f>COUNTIFS(Requirements!$B$2:$B$347,B23,Requirements!$G$2:$G$347,"Should")</x:f>
        <x:v>1</x:v>
      </x:c>
      <x:c r="G23" s="8" t="n">
        <x:f>COUNTIFS(Requirements!$B$2:$B$347,B23,Requirements!$G$2:$G$347,"Advanced")</x:f>
        <x:v>9</x:v>
      </x:c>
      <x:c r="H23" s="8" t="n">
        <x:f>COUNTIFS(Requirements!$B$2:$B$347,B23,Requirements!$H$2:$H$347,"Core")</x:f>
        <x:v>0</x:v>
      </x:c>
      <x:c r="I23" s="8" t="n">
        <x:f>COUNTIFS(Requirements!$B$2:$B$347,B23,Requirements!$H$2:$H$347,"Enterprise")</x:f>
        <x:v>1</x:v>
      </x:c>
      <x:c r="J23" s="8" t="n">
        <x:f>COUNTIFS(Requirements!$B$2:$B$347,B23,Requirements!$H$2:$H$347,"Expansion")</x:f>
        <x:v>9</x:v>
      </x:c>
      <x:c r="K23" s="8" t="n">
        <x:f>COUNTIFS(Requirements!$B$2:$B$347,B23,Requirements!$I$2:$I$347,"Done")</x:f>
        <x:v>0</x:v>
      </x:c>
      <x:c r="L23" s="12" t="n">
        <x:f>IFERROR(K23/D23,0)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3c4c4d000f49a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105" hidden="0" customWidth="1"/>
  </x:cols>
  <x:sheetData>
    <x:row r="1" ht="30" customHeight="1">
      <x:c r="A1" s="3" t="str">
        <x:v>Source / reference</x:v>
      </x:c>
      <x:c r="B1" s="3" t="str">
        <x:v>Official URL</x:v>
      </x:c>
    </x:row>
    <x:row r="2" ht="27" customHeight="1">
      <x:c r="A2" t="str">
        <x:v>Microsoft Purview - retention and labels</x:v>
      </x:c>
      <x:c r="B2" t="str">
        <x:v>https://learn.microsoft.com/en-us/purview/retention</x:v>
      </x:c>
    </x:row>
    <x:row r="3" ht="27" customHeight="1">
      <x:c r="A3" t="str">
        <x:v>Microsoft Purview - records management</x:v>
      </x:c>
      <x:c r="B3" t="str">
        <x:v>https://learn.microsoft.com/en-us/purview/manage-data-governance</x:v>
      </x:c>
    </x:row>
    <x:row r="4" ht="27" customHeight="1">
      <x:c r="A4" t="str">
        <x:v>M-Files - metadata-driven document controls</x:v>
      </x:c>
      <x:c r="B4" t="str">
        <x:v>https://www.m-files.com/supplemental/document-control/</x:v>
      </x:c>
    </x:row>
    <x:row r="5" ht="27" customHeight="1">
      <x:c r="A5" t="str">
        <x:v>Box Shield - content classification and threat detection</x:v>
      </x:c>
      <x:c r="B5" t="str">
        <x:v>https://support.box.com/hc/en-us/articles/360044196233-Introducing-Box-Shield</x:v>
      </x:c>
    </x:row>
    <x:row r="6" ht="27" customHeight="1">
      <x:c r="A6" t="str">
        <x:v>Box - platform features and governance</x:v>
      </x:c>
      <x:c r="B6" t="str">
        <x:v>https://www.box.com/products-and-features</x:v>
      </x:c>
    </x:row>
    <x:row r="7" ht="27" customHeight="1">
      <x:c r="A7" t="str">
        <x:v>Egnyte - AI Safeguards</x:v>
      </x:c>
      <x:c r="B7" t="str">
        <x:v>https://helpdesk.egnyte.com/hc/en-us/articles/43288758481293-AI-Safeguards-Overview</x:v>
      </x:c>
    </x:row>
    <x:row r="8" ht="27" customHeight="1">
      <x:c r="A8" t="str">
        <x:v>OpenText - content management, workflows, records</x:v>
      </x:c>
      <x:c r="B8" t="str">
        <x:v>https://www.opentext.com/products/content-management</x:v>
      </x:c>
    </x:row>
    <x:row r="9" ht="27" customHeight="1">
      <x:c r="A9" t="str">
        <x:v>Nextcloud - Files Access Control</x:v>
      </x:c>
      <x:c r="B9" t="str">
        <x:v>https://docs.nextcloud.com/server/stable/admin_manual/file_workflows/access_control.html</x:v>
      </x:c>
    </x:row>
    <x:row r="10" ht="27" customHeight="1">
      <x:c r="A10" t="str">
        <x:v>Nextcloud - server-side vs end-to-end encryption</x:v>
      </x:c>
      <x:c r="B10" t="str">
        <x:v>https://docs.nextcloud.com/server/stable/admin_manual/configuration_files/encryption_configuration.html</x:v>
      </x:c>
    </x:row>
    <x:row r="11" ht="27" customHeight="1">
      <x:c r="A11" t="str">
        <x:v>Confluence - knowledge management capabilities</x:v>
      </x:c>
      <x:c r="B11" t="str">
        <x:v>https://www.atlassian.com/software/confluence/features</x:v>
      </x:c>
    </x:row>
    <x:row r="12" ht="27" customHeight="1">
      <x:c r="A12" t="str">
        <x:v>Confluence - role-based access</x:v>
      </x:c>
      <x:c r="B12" t="str">
        <x:v>https://support.atlassian.com/confluence-cloud/docs/what-are-confluences-roles/</x:v>
      </x:c>
    </x:row>
    <x:row r="13" ht="27" customHeight="1">
      <x:c r="A13" t="str">
        <x:v>OWASP - Authorization Cheat Sheet</x:v>
      </x:c>
      <x:c r="B13" t="str">
        <x:v>https://cheatsheetseries.owasp.org/cheatsheets/Authorization_Cheat_Sheet.html</x:v>
      </x:c>
    </x:row>
    <x:row r="14" ht="27" customHeight="1">
      <x:c r="A14" t="str">
        <x:v>OWASP - Multi-Tenant Security Cheat Sheet</x:v>
      </x:c>
      <x:c r="B14" t="str">
        <x:v>https://cheatsheetseries.owasp.org/cheatsheets/Multi_Tenant_Security_Cheat_Sheet.html</x:v>
      </x:c>
    </x:row>
    <x:row r="15" ht="27" customHeight="1">
      <x:c r="A15" t="str">
        <x:v>OWASP - Cryptographic Storage Cheat Sheet</x:v>
      </x:c>
      <x:c r="B15" t="str">
        <x:v>https://cheatsheetseries.owasp.org/cheatsheets/Cryptographic_Storage_Cheat_Sheet.html</x:v>
      </x:c>
    </x:row>
    <x:row r="16" ht="27" customHeight="1">
      <x:c r="A16" t="str">
        <x:v>OWASP - Application Security Verification Standard 5.0</x:v>
      </x:c>
      <x:c r="B16" t="str">
        <x:v>https://github.com/OWASP/ASVS</x:v>
      </x:c>
    </x:row>
    <x:row r="17" ht="27" customHeight="1">
      <x:c r="A17" t="str">
        <x:v>NIST SP 800-57 part 1 revision 5, Key Management</x:v>
      </x:c>
      <x:c r="B17" t="str">
        <x:v>https://csrc.nist.gov/pubs/sp/800/57/pt1/r5/final</x:v>
      </x:c>
    </x:row>
    <x:row r="18" ht="27" customHeight="1">
      <x:c r="A18" t="str">
        <x:v>NIST SP 800-63-4, Digital Identity Guidelines</x:v>
      </x:c>
      <x:c r="B18" t="str">
        <x:v>https://csrc.nist.gov/pubs/sp/800/63/4/final</x:v>
      </x:c>
    </x:row>
    <x:row r="19" ht="27" customHeight="1">
      <x:c r="A19" t="str">
        <x:v>NIST SP 800-207, Zero Trust Architecture</x:v>
      </x:c>
      <x:c r="B19" t="str">
        <x:v>https://csrc.nist.gov/pubs/sp/800/207/final</x:v>
      </x:c>
    </x:row>
    <x:row r="20" ht="27" customHeight="1">
      <x:c r="A20" t="str">
        <x:v>WordPress Developer - user roles and capabilities</x:v>
      </x:c>
      <x:c r="B20" t="str">
        <x:v>https://developer.wordpress.org/apis/security/user-roles-and-capabilities/</x:v>
      </x:c>
    </x:row>
    <x:row r="21" ht="27" customHeight="1">
      <x:c r="A21" t="str">
        <x:v>WordPress Developer - internationalizing a plugin</x:v>
      </x:c>
      <x:c r="B21" t="str">
        <x:v>https://developer.wordpress.org/plugins/internationalization/how-to-internationalize-your-plugin/</x:v>
      </x:c>
    </x:row>
    <x:row r="22" ht="27" customHeight="1">
      <x:c r="A22" t="str">
        <x:v>WordPress Developer - JavaScript localization</x:v>
      </x:c>
      <x:c r="B22" t="str">
        <x:v>https://developer.wordpress.org/apis/internationalization/</x:v>
      </x:c>
    </x:row>
  </x:sheetData>
  <x:pageMargins left="0.7" right="0.7" top="0.75" bottom="0.75" header="0.3" footer="0.3"/>
  <x:tableParts count="1">
    <x:tablePart xmlns:r="http://schemas.openxmlformats.org/officeDocument/2006/relationships" r:id="Rfb0e45e665824009"/>
  </x:tableParts>
</x:worksheet>
</file>