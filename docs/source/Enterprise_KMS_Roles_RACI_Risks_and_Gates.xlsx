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b9c0c68e7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Roles" sheetId="1" r:id="R8cc601bbc6114d12"/>
    <x:sheet xmlns:r="http://schemas.openxmlformats.org/officeDocument/2006/relationships" name="Module Ownership" sheetId="2" r:id="Rac602fc0b23f481b"/>
    <x:sheet xmlns:r="http://schemas.openxmlformats.org/officeDocument/2006/relationships" name="Feature Traceability" sheetId="3" r:id="R5472726d63904c24"/>
    <x:sheet xmlns:r="http://schemas.openxmlformats.org/officeDocument/2006/relationships" name="Risk Register" sheetId="4" r:id="R4df906e5d9864b0f"/>
    <x:sheet xmlns:r="http://schemas.openxmlformats.org/officeDocument/2006/relationships" name="Architecture Decisions" sheetId="5" r:id="R08d1f5c7f5144b84"/>
    <x:sheet xmlns:r="http://schemas.openxmlformats.org/officeDocument/2006/relationships" name="Operational Roles" sheetId="6" r:id="R2a104b7b79cf4309"/>
    <x:sheet xmlns:r="http://schemas.openxmlformats.org/officeDocument/2006/relationships" name="Release Gates" sheetId="7" r:id="R09b0d5abf6384873"/>
    <x:sheet xmlns:r="http://schemas.openxmlformats.org/officeDocument/2006/relationships" name="Baseline Revisions" sheetId="8" r:id="Rdb8b887588c0472d"/>
    <x:sheet xmlns:r="http://schemas.openxmlformats.org/officeDocument/2006/relationships" name="Acceptance Scenarios" sheetId="9" r:id="R53c511a42890452a"/>
    <x:sheet xmlns:r="http://schemas.openxmlformats.org/officeDocument/2006/relationships" name="Design Conflicts" sheetId="10" r:id="Rc5a686845c9b4c5e"/>
    <x:sheet xmlns:r="http://schemas.openxmlformats.org/officeDocument/2006/relationships" name="References" sheetId="11" r:id="Rf592bf86a652430d"/>
    <x:sheet xmlns:r="http://schemas.openxmlformats.org/officeDocument/2006/relationships" name="Dashboard" sheetId="12" r:id="Rc9a6bf1915a54c91"/>
    <x:sheet xmlns:r="http://schemas.openxmlformats.org/officeDocument/2006/relationships" name="Mode Compatibility" sheetId="13" r:id="R0a353ff1ab7b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sz val="9"/>
      <x:color rgb="FF223344"/>
      <x:name val="Carlito"/>
    </x:font>
    <x:font>
      <x:b/>
      <x:sz val="10"/>
      <x:color rgb="FFFFFFFF"/>
      <x:name val="Carlito"/>
    </x:font>
    <x:font>
      <x:b/>
      <x:sz val="17"/>
      <x:color rgb="FFFFFFFF"/>
      <x:name val="Carlito"/>
    </x:font>
    <x:font>
      <x:b/>
      <x:sz val="11"/>
      <x:color rgb="FF223344"/>
      <x:name val="Carlito"/>
    </x:font>
    <x:font>
      <x:b/>
      <x:sz val="13"/>
      <x:color rgb="FF117C88"/>
      <x:name val="Carlito"/>
    </x:font>
    <x:font>
      <x:b/>
      <x:sz val="11"/>
      <x:color rgb="FFFFFFFF"/>
      <x:name val="Carlito"/>
    </x:font>
    <x:font>
      <x:sz val="11"/>
      <x:color rgb="FF22334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73B"/>
      </x:patternFill>
    </x:fill>
    <x:fill>
      <x:patternFill patternType="solid">
        <x:fgColor rgb="FFEAF3F5"/>
      </x:patternFill>
    </x:fill>
    <x:fill>
      <x:patternFill patternType="solid">
        <x:fgColor rgb="FF117C88"/>
      </x:patternFill>
    </x:fill>
    <x:fill>
      <x:patternFill patternType="solid">
        <x:fgColor rgb="FFF3F6F8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7332c786e407f" /><Relationship Type="http://schemas.openxmlformats.org/officeDocument/2006/relationships/theme" Target="/xl/theme/theme1.xml" Id="R6a155904aaed45a8" /><Relationship Type="http://schemas.openxmlformats.org/officeDocument/2006/relationships/sharedStrings" Target="/xl/sharedStrings.xml" Id="R300b8755d5074df0" /><Relationship Type="http://schemas.openxmlformats.org/officeDocument/2006/relationships/worksheet" Target="/xl/worksheets/sheet1.xml" Id="R8cc601bbc6114d12" /><Relationship Type="http://schemas.openxmlformats.org/officeDocument/2006/relationships/worksheet" Target="/xl/worksheets/sheet2.xml" Id="Rac602fc0b23f481b" /><Relationship Type="http://schemas.openxmlformats.org/officeDocument/2006/relationships/worksheet" Target="/xl/worksheets/sheet3.xml" Id="R5472726d63904c24" /><Relationship Type="http://schemas.openxmlformats.org/officeDocument/2006/relationships/worksheet" Target="/xl/worksheets/sheet4.xml" Id="R4df906e5d9864b0f" /><Relationship Type="http://schemas.openxmlformats.org/officeDocument/2006/relationships/worksheet" Target="/xl/worksheets/sheet5.xml" Id="R08d1f5c7f5144b84" /><Relationship Type="http://schemas.openxmlformats.org/officeDocument/2006/relationships/worksheet" Target="/xl/worksheets/sheet6.xml" Id="R2a104b7b79cf4309" /><Relationship Type="http://schemas.openxmlformats.org/officeDocument/2006/relationships/worksheet" Target="/xl/worksheets/sheet7.xml" Id="R09b0d5abf6384873" /><Relationship Type="http://schemas.openxmlformats.org/officeDocument/2006/relationships/worksheet" Target="/xl/worksheets/sheet8.xml" Id="Rdb8b887588c0472d" /><Relationship Type="http://schemas.openxmlformats.org/officeDocument/2006/relationships/worksheet" Target="/xl/worksheets/sheet9.xml" Id="R53c511a42890452a" /><Relationship Type="http://schemas.openxmlformats.org/officeDocument/2006/relationships/worksheet" Target="/xl/worksheets/sheet10.xml" Id="Rc5a686845c9b4c5e" /><Relationship Type="http://schemas.openxmlformats.org/officeDocument/2006/relationships/worksheet" Target="/xl/worksheets/sheet11.xml" Id="Rf592bf86a652430d" /><Relationship Type="http://schemas.openxmlformats.org/officeDocument/2006/relationships/worksheet" Target="/xl/worksheets/sheet12.xml" Id="Rc9a6bf1915a54c91" /><Relationship Type="http://schemas.openxmlformats.org/officeDocument/2006/relationships/worksheet" Target="/xl/worksheets/sheet13.xml" Id="R0a353ff1ab7b48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b656c645084f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Unresolved risk mix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'Dashboard'!$D$6:$D$8</c:f>
              <c:strCache>
                <c:ptCount val="0"/>
              </c:strCache>
            </c:strRef>
          </c:cat>
          <c:val>
            <c:numRef>
              <c:f>'Dashboard'!$E$6:$E$8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b656c645084f0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29fbaa7528ce41a3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33" hidden="0" customWidth="1"/>
    <x:col min="4" max="4" width="44" hidden="0" customWidth="1"/>
    <x:col min="5" max="5" width="44" hidden="0" customWidth="1"/>
    <x:col min="6" max="6" width="19" hidden="0" customWidth="1"/>
    <x:col min="7" max="7" width="20" hidden="0" customWidth="1"/>
    <x:col min="8" max="8" width="22" hidden="0" customWidth="1"/>
    <x:col min="9" max="9" width="18" hidden="0" customWidth="1"/>
  </x:cols>
  <x:sheetData>
    <x:row r="1" ht="23" customHeight="1">
      <x:c r="A1" s="4" t="str">
        <x:v>TEAM ROLES  |  KMS DELIVERY REVIEW</x:v>
      </x:c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9" customHeight="1">
      <x:c r="A3" s="11" t="str">
        <x:v>Responsibilities are organizational hats, not 44 required employees. Independently accountable reviewers and trustees cannot certify their own implementation.</x:v>
      </x:c>
      <x:c r="B3" s="11"/>
      <x:c r="C3" s="11"/>
      <x:c r="D3" s="11"/>
      <x:c r="E3" s="11"/>
      <x:c r="F3" s="11"/>
      <x:c r="G3" s="11"/>
      <x:c r="H3" s="11"/>
      <x:c r="I3" s="11"/>
    </x:row>
    <x:row r="4" ht="28" customHeight="1">
      <x:c r="A4" s="19" t="str">
        <x:v>Role ID</x:v>
      </x:c>
      <x:c r="B4" s="19" t="str">
        <x:v>Family</x:v>
      </x:c>
      <x:c r="C4" s="19" t="str">
        <x:v>Specialist responsibility</x:v>
      </x:c>
      <x:c r="D4" s="19" t="str">
        <x:v>Mission / authority</x:v>
      </x:c>
      <x:c r="E4" s="19" t="str">
        <x:v>Expected deliverable</x:v>
      </x:c>
      <x:c r="F4" s="19" t="str">
        <x:v>Engagement</x:v>
      </x:c>
      <x:c r="G4" s="19" t="str">
        <x:v>When needed</x:v>
      </x:c>
      <x:c r="H4" s="19" t="str">
        <x:v>Named individual</x:v>
      </x:c>
      <x:c r="I4" s="19" t="str">
        <x:v>Staffing status</x:v>
      </x:c>
    </x:row>
    <x:row r="5" ht="51" customHeight="1">
      <x:c r="A5" s="26" t="str">
        <x:v>R01</x:v>
      </x:c>
      <x:c r="B5" s="26" t="str">
        <x:v>Strategy &amp; delivery</x:v>
      </x:c>
      <x:c r="C5" s="26" t="str">
        <x:v>Executive sponsor</x:v>
      </x:c>
      <x:c r="D5" s="26" t="str">
        <x:v>Own business case, funding, risk appetite and final business authorization.</x:v>
      </x:c>
      <x:c r="E5" s="26" t="str">
        <x:v>Approved charter; budget envelope; risk acceptance boundaries.</x:v>
      </x:c>
      <x:c r="F5" s="26" t="str">
        <x:v>Decision-maker</x:v>
      </x:c>
      <x:c r="G5" s="26" t="str">
        <x:v>All</x:v>
      </x:c>
      <x:c r="H5" s="26" t="str"/>
      <x:c r="I5" s="26" t="str">
        <x:v>Unassigned</x:v>
      </x:c>
    </x:row>
    <x:row r="6" ht="51" customHeight="1">
      <x:c r="A6" s="26" t="str">
        <x:v>R02</x:v>
      </x:c>
      <x:c r="B6" s="26" t="str">
        <x:v>Strategy &amp; delivery</x:v>
      </x:c>
      <x:c r="C6" s="26" t="str">
        <x:v>Holding-company governance chair</x:v>
      </x:c>
      <x:c r="D6" s="26" t="str">
        <x:v>Resolve conflicts between group oversight and subsidiary autonomy.</x:v>
      </x:c>
      <x:c r="E6" s="26" t="str">
        <x:v>Group governance policy; escalation and veto process.</x:v>
      </x:c>
      <x:c r="F6" s="26" t="str">
        <x:v>Decision-maker</x:v>
      </x:c>
      <x:c r="G6" s="26" t="str">
        <x:v>All</x:v>
      </x:c>
      <x:c r="H6" s="26" t="str"/>
      <x:c r="I6" s="26" t="str">
        <x:v>Unassigned</x:v>
      </x:c>
    </x:row>
    <x:row r="7" ht="51" customHeight="1">
      <x:c r="A7" s="26" t="str">
        <x:v>R03</x:v>
      </x:c>
      <x:c r="B7" s="26" t="str">
        <x:v>Strategy &amp; delivery</x:v>
      </x:c>
      <x:c r="C7" s="26" t="str">
        <x:v>Product owner / product director</x:v>
      </x:c>
      <x:c r="D7" s="26" t="str">
        <x:v>Own roadmap, value hypotheses, scope, acceptance and product trade-offs.</x:v>
      </x:c>
      <x:c r="E7" s="26" t="str">
        <x:v>Product vision; prioritization; signed acceptance criteria.</x:v>
      </x:c>
      <x:c r="F7" s="26" t="str">
        <x:v>Core</x:v>
      </x:c>
      <x:c r="G7" s="26" t="str">
        <x:v>All</x:v>
      </x:c>
      <x:c r="H7" s="26" t="str"/>
      <x:c r="I7" s="26" t="str">
        <x:v>Unassigned</x:v>
      </x:c>
    </x:row>
    <x:row r="8" ht="51" customHeight="1">
      <x:c r="A8" s="26" t="str">
        <x:v>R04</x:v>
      </x:c>
      <x:c r="B8" s="26" t="str">
        <x:v>Strategy &amp; delivery</x:v>
      </x:c>
      <x:c r="C8" s="26" t="str">
        <x:v>Program / delivery manager</x:v>
      </x:c>
      <x:c r="D8" s="26" t="str">
        <x:v>Run dependencies, milestones, resourcing, delivery risks and release governance.</x:v>
      </x:c>
      <x:c r="E8" s="26" t="str">
        <x:v>Integrated program plan; RAID log; gate evidence pack.</x:v>
      </x:c>
      <x:c r="F8" s="26" t="str">
        <x:v>Core</x:v>
      </x:c>
      <x:c r="G8" s="26" t="str">
        <x:v>All</x:v>
      </x:c>
      <x:c r="H8" s="26" t="str"/>
      <x:c r="I8" s="26" t="str">
        <x:v>Unassigned</x:v>
      </x:c>
    </x:row>
    <x:row r="9" ht="51" customHeight="1">
      <x:c r="A9" s="26" t="str">
        <x:v>R05</x:v>
      </x:c>
      <x:c r="B9" s="26" t="str">
        <x:v>Strategy &amp; delivery</x:v>
      </x:c>
      <x:c r="C9" s="26" t="str">
        <x:v>Business analyst / requirements engineer</x:v>
      </x:c>
      <x:c r="D9" s="26" t="str">
        <x:v>Convert workflows into detailed, testable specifications across entities.</x:v>
      </x:c>
      <x:c r="E9" s="26" t="str">
        <x:v>Process maps; user stories; traceability; acceptance scenarios.</x:v>
      </x:c>
      <x:c r="F9" s="26" t="str">
        <x:v>Core</x:v>
      </x:c>
      <x:c r="G9" s="26" t="str">
        <x:v>Discovery–release</x:v>
      </x:c>
      <x:c r="H9" s="26" t="str"/>
      <x:c r="I9" s="26" t="str">
        <x:v>Unassigned</x:v>
      </x:c>
    </x:row>
    <x:row r="10" ht="51" customHeight="1">
      <x:c r="A10" s="26" t="str">
        <x:v>R06</x:v>
      </x:c>
      <x:c r="B10" s="26" t="str">
        <x:v>Strategy &amp; delivery</x:v>
      </x:c>
      <x:c r="C10" s="26" t="str">
        <x:v>Enterprise architect</x:v>
      </x:c>
      <x:c r="D10" s="26" t="str">
        <x:v>Ensure integration with IT strategy, identity estate and governance framework.</x:v>
      </x:c>
      <x:c r="E10" s="26" t="str">
        <x:v>Architecture principles; capability map; integration boundaries.</x:v>
      </x:c>
      <x:c r="F10" s="26" t="str">
        <x:v>Core / fractional</x:v>
      </x:c>
      <x:c r="G10" s="26" t="str">
        <x:v>Discovery–design</x:v>
      </x:c>
      <x:c r="H10" s="26" t="str"/>
      <x:c r="I10" s="26" t="str">
        <x:v>Unassigned</x:v>
      </x:c>
    </x:row>
    <x:row r="11" ht="51" customHeight="1">
      <x:c r="A11" s="26" t="str">
        <x:v>R07</x:v>
      </x:c>
      <x:c r="B11" s="26" t="str">
        <x:v>Strategy &amp; delivery</x:v>
      </x:c>
      <x:c r="C11" s="26" t="str">
        <x:v>Solution architect / technical lead</x:v>
      </x:c>
      <x:c r="D11" s="26" t="str">
        <x:v>Own system-wide design, architecture decision records and interfaces.</x:v>
      </x:c>
      <x:c r="E11" s="26" t="str">
        <x:v>Threat-aware architecture; API boundaries; ADRs.</x:v>
      </x:c>
      <x:c r="F11" s="26" t="str">
        <x:v>Core</x:v>
      </x:c>
      <x:c r="G11" s="26" t="str">
        <x:v>Design–release</x:v>
      </x:c>
      <x:c r="H11" s="26" t="str"/>
      <x:c r="I11" s="26" t="str">
        <x:v>Unassigned</x:v>
      </x:c>
    </x:row>
    <x:row r="12" ht="51" customHeight="1">
      <x:c r="A12" s="26" t="str">
        <x:v>R08</x:v>
      </x:c>
      <x:c r="B12" s="26" t="str">
        <x:v>Strategy &amp; delivery</x:v>
      </x:c>
      <x:c r="C12" s="26" t="str">
        <x:v>FinOps / financial analyst</x:v>
      </x:c>
      <x:c r="D12" s="26" t="str">
        <x:v>Model storage, compute, OCR, AI, network egress, keys and long-term cost.</x:v>
      </x:c>
      <x:c r="E12" s="26" t="str">
        <x:v>TCO model; tenant chargeback and budget guardrails.</x:v>
      </x:c>
      <x:c r="F12" s="26" t="str">
        <x:v>Fractional</x:v>
      </x:c>
      <x:c r="G12" s="26" t="str">
        <x:v>Planning–operations</x:v>
      </x:c>
      <x:c r="H12" s="26" t="str"/>
      <x:c r="I12" s="26" t="str">
        <x:v>Unassigned</x:v>
      </x:c>
    </x:row>
    <x:row r="13" ht="51" customHeight="1">
      <x:c r="A13" s="26" t="str">
        <x:v>R09</x:v>
      </x:c>
      <x:c r="B13" s="26" t="str">
        <x:v>Strategy &amp; delivery</x:v>
      </x:c>
      <x:c r="C13" s="26" t="str">
        <x:v>Procurement and third-party risk lead</x:v>
      </x:c>
      <x:c r="D13" s="26" t="str">
        <x:v>Assess IdP, hosting, KMS, converters, AI and signature vendors.</x:v>
      </x:c>
      <x:c r="E13" s="26" t="str">
        <x:v>Vendor due diligence; DPAs; exit conditions and SLAs.</x:v>
      </x:c>
      <x:c r="F13" s="26" t="str">
        <x:v>Fractional</x:v>
      </x:c>
      <x:c r="G13" s="26" t="str">
        <x:v>Design–operations</x:v>
      </x:c>
      <x:c r="H13" s="26" t="str"/>
      <x:c r="I13" s="26" t="str">
        <x:v>Unassigned</x:v>
      </x:c>
    </x:row>
    <x:row r="14" ht="51" customHeight="1">
      <x:c r="A14" s="26" t="str">
        <x:v>R10</x:v>
      </x:c>
      <x:c r="B14" s="26" t="str">
        <x:v>Strategy &amp; delivery</x:v>
      </x:c>
      <x:c r="C14" s="26" t="str">
        <x:v>Change and adoption manager</x:v>
      </x:c>
      <x:c r="D14" s="26" t="str">
        <x:v>Lead stakeholder engagement, phased rollout, communications and training.</x:v>
      </x:c>
      <x:c r="E14" s="26" t="str">
        <x:v>Adoption plan; pilot feedback; organizational readiness.</x:v>
      </x:c>
      <x:c r="F14" s="26" t="str">
        <x:v>Core / fractional</x:v>
      </x:c>
      <x:c r="G14" s="26" t="str">
        <x:v>Pilot–operations</x:v>
      </x:c>
      <x:c r="H14" s="26" t="str"/>
      <x:c r="I14" s="26" t="str">
        <x:v>Unassigned</x:v>
      </x:c>
    </x:row>
    <x:row r="15" ht="51" customHeight="1">
      <x:c r="A15" s="26" t="str">
        <x:v>R11</x:v>
      </x:c>
      <x:c r="B15" s="26" t="str">
        <x:v>Business &amp; information</x:v>
      </x:c>
      <x:c r="C15" s="26" t="str">
        <x:v>Subsidiary representatives / UAT leads</x:v>
      </x:c>
      <x:c r="D15" s="26" t="str">
        <x:v>Represent each company and validate delegated administration workflows.</x:v>
      </x:c>
      <x:c r="E15" s="26" t="str">
        <x:v>10-tenant UAT scenarios; local policy signoffs.</x:v>
      </x:c>
      <x:c r="F15" s="26" t="str">
        <x:v>Distributed business owners</x:v>
      </x:c>
      <x:c r="G15" s="26" t="str">
        <x:v>Discovery–pilot</x:v>
      </x:c>
      <x:c r="H15" s="26" t="str"/>
      <x:c r="I15" s="26" t="str">
        <x:v>Unassigned</x:v>
      </x:c>
    </x:row>
    <x:row r="16" ht="51" customHeight="1">
      <x:c r="A16" s="26" t="str">
        <x:v>R12</x:v>
      </x:c>
      <x:c r="B16" s="26" t="str">
        <x:v>Business &amp; information</x:v>
      </x:c>
      <x:c r="C16" s="26" t="str">
        <x:v>Records and information governance lead</x:v>
      </x:c>
      <x:c r="D16" s="26" t="str">
        <x:v>Own classification, controlled records, retention, legal holds and disposition.</x:v>
      </x:c>
      <x:c r="E16" s="26" t="str">
        <x:v>File plan; schedules; disposition protocol; audit evidence.</x:v>
      </x:c>
      <x:c r="F16" s="26" t="str">
        <x:v>Required domain owner</x:v>
      </x:c>
      <x:c r="G16" s="26" t="str">
        <x:v>Design–operations</x:v>
      </x:c>
      <x:c r="H16" s="26" t="str"/>
      <x:c r="I16" s="26" t="str">
        <x:v>Unassigned</x:v>
      </x:c>
    </x:row>
    <x:row r="17" ht="51" customHeight="1">
      <x:c r="A17" s="26" t="str">
        <x:v>R13</x:v>
      </x:c>
      <x:c r="B17" s="26" t="str">
        <x:v>Business &amp; information</x:v>
      </x:c>
      <x:c r="C17" s="26" t="str">
        <x:v>Legal counsel and eDiscovery specialist</x:v>
      </x:c>
      <x:c r="D17" s="26" t="str">
        <x:v>Define statutory records, electronic evidence and contractual sharing rights.</x:v>
      </x:c>
      <x:c r="E17" s="26" t="str">
        <x:v>Jurisdiction matrix; legal holds; signature rules; disclosure playbooks.</x:v>
      </x:c>
      <x:c r="F17" s="26" t="str">
        <x:v>Specialist / legal signoff</x:v>
      </x:c>
      <x:c r="G17" s="26" t="str">
        <x:v>Design–operations</x:v>
      </x:c>
      <x:c r="H17" s="26" t="str"/>
      <x:c r="I17" s="26" t="str">
        <x:v>Unassigned</x:v>
      </x:c>
    </x:row>
    <x:row r="18" ht="51" customHeight="1">
      <x:c r="A18" s="26" t="str">
        <x:v>R14</x:v>
      </x:c>
      <x:c r="B18" s="26" t="str">
        <x:v>Business &amp; information</x:v>
      </x:c>
      <x:c r="C18" s="26" t="str">
        <x:v>Privacy officer / DPO</x:v>
      </x:c>
      <x:c r="D18" s="26" t="str">
        <x:v>Resolve controller/processor duties, minimization, transfers and subject requests.</x:v>
      </x:c>
      <x:c r="E18" s="26" t="str">
        <x:v>DPIA; lawful-basis map; erasure and transfer procedures.</x:v>
      </x:c>
      <x:c r="F18" s="26" t="str">
        <x:v>Independent oversight</x:v>
      </x:c>
      <x:c r="G18" s="26" t="str">
        <x:v>Design–operations</x:v>
      </x:c>
      <x:c r="H18" s="26" t="str"/>
      <x:c r="I18" s="26" t="str">
        <x:v>Unassigned</x:v>
      </x:c>
    </x:row>
    <x:row r="19" ht="51" customHeight="1">
      <x:c r="A19" s="26" t="str">
        <x:v>R15</x:v>
      </x:c>
      <x:c r="B19" s="26" t="str">
        <x:v>Business &amp; information</x:v>
      </x:c>
      <x:c r="C19" s="26" t="str">
        <x:v>Knowledge architect / taxonomy specialist</x:v>
      </x:c>
      <x:c r="D19" s="26" t="str">
        <x:v>Structure wiki, canonical policy knowledge, metadata quality and ownership.</x:v>
      </x:c>
      <x:c r="E19" s="26" t="str">
        <x:v>Taxonomy; editorial governance; content quality indicators.</x:v>
      </x:c>
      <x:c r="F19" s="26" t="str">
        <x:v>Core / fractional</x:v>
      </x:c>
      <x:c r="G19" s="26" t="str">
        <x:v>Design–operations</x:v>
      </x:c>
      <x:c r="H19" s="26" t="str"/>
      <x:c r="I19" s="26" t="str">
        <x:v>Unassigned</x:v>
      </x:c>
    </x:row>
    <x:row r="20" ht="51" customHeight="1">
      <x:c r="A20" s="26" t="str">
        <x:v>R16</x:v>
      </x:c>
      <x:c r="B20" s="26" t="str">
        <x:v>Business &amp; information</x:v>
      </x:c>
      <x:c r="C20" s="26" t="str">
        <x:v>UX researcher / product designer</x:v>
      </x:c>
      <x:c r="D20" s="26" t="str">
        <x:v>Design usable multi-tenant workflows and high-stakes warnings.</x:v>
      </x:c>
      <x:c r="E20" s="26" t="str">
        <x:v>Journey maps; interaction prototypes; usability research.</x:v>
      </x:c>
      <x:c r="F20" s="26" t="str">
        <x:v>Core</x:v>
      </x:c>
      <x:c r="G20" s="26" t="str">
        <x:v>Discovery–release</x:v>
      </x:c>
      <x:c r="H20" s="26" t="str"/>
      <x:c r="I20" s="26" t="str">
        <x:v>Unassigned</x:v>
      </x:c>
    </x:row>
    <x:row r="21" ht="51" customHeight="1">
      <x:c r="A21" s="26" t="str">
        <x:v>R17</x:v>
      </x:c>
      <x:c r="B21" s="26" t="str">
        <x:v>Business &amp; information</x:v>
      </x:c>
      <x:c r="C21" s="26" t="str">
        <x:v>Localization lead and 13-language reviewers</x:v>
      </x:c>
      <x:c r="D21" s="26" t="str">
        <x:v>Own locale glossary, native review, RTL, linguistic correctness.</x:v>
      </x:c>
      <x:c r="E21" s="26" t="str">
        <x:v>Locale specification; translation memory; signoff for 13 languages.</x:v>
      </x:c>
      <x:c r="F21" s="26" t="str">
        <x:v>Specialists; not 13 full-time staff</x:v>
      </x:c>
      <x:c r="G21" s="26" t="str">
        <x:v>Design–release</x:v>
      </x:c>
      <x:c r="H21" s="26" t="str"/>
      <x:c r="I21" s="26" t="str">
        <x:v>Unassigned</x:v>
      </x:c>
    </x:row>
    <x:row r="22" ht="51" customHeight="1">
      <x:c r="A22" s="26" t="str">
        <x:v>R18</x:v>
      </x:c>
      <x:c r="B22" s="26" t="str">
        <x:v>Business &amp; information</x:v>
      </x:c>
      <x:c r="C22" s="26" t="str">
        <x:v>Accessibility specialist</x:v>
      </x:c>
      <x:c r="D22" s="26" t="str">
        <x:v>Measure keyboard, screen-reader, cognitive and bidirectional usability.</x:v>
      </x:c>
      <x:c r="E22" s="26" t="str">
        <x:v>WCAG 2.2 AA audit; manual assistive-technology reports.</x:v>
      </x:c>
      <x:c r="F22" s="26" t="str">
        <x:v>Specialist / independent test</x:v>
      </x:c>
      <x:c r="G22" s="26" t="str">
        <x:v>Design–release</x:v>
      </x:c>
      <x:c r="H22" s="26" t="str"/>
      <x:c r="I22" s="26" t="str">
        <x:v>Unassigned</x:v>
      </x:c>
    </x:row>
    <x:row r="23" ht="51" customHeight="1">
      <x:c r="A23" s="26" t="str">
        <x:v>R19</x:v>
      </x:c>
      <x:c r="B23" s="26" t="str">
        <x:v>Security &amp; assurance</x:v>
      </x:c>
      <x:c r="C23" s="26" t="str">
        <x:v>Application security and threat-model architect</x:v>
      </x:c>
      <x:c r="D23" s="26" t="str">
        <x:v>Threat-model every entry point, isolation boundary and document operation.</x:v>
      </x:c>
      <x:c r="E23" s="26" t="str">
        <x:v>Threat model; abuse cases; ASVS verification mapping.</x:v>
      </x:c>
      <x:c r="F23" s="26" t="str">
        <x:v>Core / independent review</x:v>
      </x:c>
      <x:c r="G23" s="26" t="str">
        <x:v>Design–operations</x:v>
      </x:c>
      <x:c r="H23" s="26" t="str"/>
      <x:c r="I23" s="26" t="str">
        <x:v>Unassigned</x:v>
      </x:c>
    </x:row>
    <x:row r="24" ht="51" customHeight="1">
      <x:c r="A24" s="26" t="str">
        <x:v>R20</x:v>
      </x:c>
      <x:c r="B24" s="26" t="str">
        <x:v>Security &amp; assurance</x:v>
      </x:c>
      <x:c r="C24" s="26" t="str">
        <x:v>Cryptographic protocol engineer</x:v>
      </x:c>
      <x:c r="D24" s="26" t="str">
        <x:v>Design E2EE, recipient identity, keys, recovery and algorithm agility.</x:v>
      </x:c>
      <x:c r="E24" s="26" t="str">
        <x:v>Protocol design; test vectors; client integrity assumptions.</x:v>
      </x:c>
      <x:c r="F24" s="26" t="str">
        <x:v>Specialist; critical</x:v>
      </x:c>
      <x:c r="G24" s="26" t="str">
        <x:v>Design–security acceptance</x:v>
      </x:c>
      <x:c r="H24" s="26" t="str"/>
      <x:c r="I24" s="26" t="str">
        <x:v>Unassigned</x:v>
      </x:c>
    </x:row>
    <x:row r="25" ht="51" customHeight="1">
      <x:c r="A25" s="26" t="str">
        <x:v>R21</x:v>
      </x:c>
      <x:c r="B25" s="26" t="str">
        <x:v>Security &amp; assurance</x:v>
      </x:c>
      <x:c r="C25" s="26" t="str">
        <x:v>IAM / PAM architect</x:v>
      </x:c>
      <x:c r="D25" s="26" t="str">
        <x:v>Own SSO, SCIM, tenant memberships, policy evaluation and privilege boundaries.</x:v>
      </x:c>
      <x:c r="E25" s="26" t="str">
        <x:v>Identity model; policy decision specification; SoD rules.</x:v>
      </x:c>
      <x:c r="F25" s="26" t="str">
        <x:v>Core / specialist</x:v>
      </x:c>
      <x:c r="G25" s="26" t="str">
        <x:v>Design–operations</x:v>
      </x:c>
      <x:c r="H25" s="26" t="str"/>
      <x:c r="I25" s="26" t="str">
        <x:v>Unassigned</x:v>
      </x:c>
    </x:row>
    <x:row r="26" ht="51" customHeight="1">
      <x:c r="A26" s="26" t="str">
        <x:v>R22</x:v>
      </x:c>
      <x:c r="B26" s="26" t="str">
        <x:v>Security &amp; assurance</x:v>
      </x:c>
      <x:c r="C26" s="26" t="str">
        <x:v>Cloud and platform security engineer</x:v>
      </x:c>
      <x:c r="D26" s="26" t="str">
        <x:v>Harden storage, KMS, network, secret handling, workloads and tenancy.</x:v>
      </x:c>
      <x:c r="E26" s="26" t="str">
        <x:v>Least privilege policies; hardening baselines; attack-path tests.</x:v>
      </x:c>
      <x:c r="F26" s="26" t="str">
        <x:v>Core / specialist</x:v>
      </x:c>
      <x:c r="G26" s="26" t="str">
        <x:v>Design–operations</x:v>
      </x:c>
      <x:c r="H26" s="26" t="str"/>
      <x:c r="I26" s="26" t="str">
        <x:v>Unassigned</x:v>
      </x:c>
    </x:row>
    <x:row r="27" ht="51" customHeight="1">
      <x:c r="A27" s="26" t="str">
        <x:v>R23</x:v>
      </x:c>
      <x:c r="B27" s="26" t="str">
        <x:v>Security &amp; assurance</x:v>
      </x:c>
      <x:c r="C27" s="26" t="str">
        <x:v>SOC and incident-response lead</x:v>
      </x:c>
      <x:c r="D27" s="26" t="str">
        <x:v>Define detection, triage, containment, evidence and breach notifications.</x:v>
      </x:c>
      <x:c r="E27" s="26" t="str">
        <x:v>Detection rules; playbooks; response exercises.</x:v>
      </x:c>
      <x:c r="F27" s="26" t="str">
        <x:v>Operational owner</x:v>
      </x:c>
      <x:c r="G27" s="26" t="str">
        <x:v>Pilot–operations</x:v>
      </x:c>
      <x:c r="H27" s="26" t="str"/>
      <x:c r="I27" s="26" t="str">
        <x:v>Unassigned</x:v>
      </x:c>
    </x:row>
    <x:row r="28" ht="51" customHeight="1">
      <x:c r="A28" s="26" t="str">
        <x:v>R24</x:v>
      </x:c>
      <x:c r="B28" s="26" t="str">
        <x:v>Security &amp; assurance</x:v>
      </x:c>
      <x:c r="C28" s="26" t="str">
        <x:v>Independent penetration tester / red team</x:v>
      </x:c>
      <x:c r="D28" s="26" t="str">
        <x:v>Attempt cross-tenant access, WordPress takeover and lateral movement.</x:v>
      </x:c>
      <x:c r="E28" s="26" t="str">
        <x:v>Independent findings; retest attestation; exploit-based proof.</x:v>
      </x:c>
      <x:c r="F28" s="26" t="str">
        <x:v>Independent; release-blocking</x:v>
      </x:c>
      <x:c r="G28" s="26" t="str">
        <x:v>Pre-release &amp; periodic</x:v>
      </x:c>
      <x:c r="H28" s="26" t="str"/>
      <x:c r="I28" s="26" t="str">
        <x:v>Unassigned</x:v>
      </x:c>
    </x:row>
    <x:row r="29" ht="51" customHeight="1">
      <x:c r="A29" s="26" t="str">
        <x:v>R25</x:v>
      </x:c>
      <x:c r="B29" s="26" t="str">
        <x:v>Security &amp; assurance</x:v>
      </x:c>
      <x:c r="C29" s="26" t="str">
        <x:v>Independent cryptography/security assessor</x:v>
      </x:c>
      <x:c r="D29" s="26" t="str">
        <x:v>Challenge protocol, device trust, key recovery and claims independently.</x:v>
      </x:c>
      <x:c r="E29" s="26" t="str">
        <x:v>Assurance report; review of threat model and test vectors.</x:v>
      </x:c>
      <x:c r="F29" s="26" t="str">
        <x:v>Independent; release-blocking</x:v>
      </x:c>
      <x:c r="G29" s="26" t="str">
        <x:v>Design &amp; pre-release</x:v>
      </x:c>
      <x:c r="H29" s="26" t="str"/>
      <x:c r="I29" s="26" t="str">
        <x:v>Unassigned</x:v>
      </x:c>
    </x:row>
    <x:row r="30" ht="51" customHeight="1">
      <x:c r="A30" s="26" t="str">
        <x:v>R26</x:v>
      </x:c>
      <x:c r="B30" s="26" t="str">
        <x:v>Security &amp; assurance</x:v>
      </x:c>
      <x:c r="C30" s="26" t="str">
        <x:v>Key recovery trustee / custodial committee</x:v>
      </x:c>
      <x:c r="D30" s="26" t="str">
        <x:v>Approve exceptional key recovery with quorum and conflict-of-interest controls.</x:v>
      </x:c>
      <x:c r="E30" s="26" t="str">
        <x:v>Trustee roster; dual-control runbook; recovery drill evidence.</x:v>
      </x:c>
      <x:c r="F30" s="26" t="str">
        <x:v>Operational; separate from engineering</x:v>
      </x:c>
      <x:c r="G30" s="26" t="str">
        <x:v>Pilot–operations</x:v>
      </x:c>
      <x:c r="H30" s="26" t="str"/>
      <x:c r="I30" s="26" t="str">
        <x:v>Unassigned</x:v>
      </x:c>
    </x:row>
    <x:row r="31" ht="51" customHeight="1">
      <x:c r="A31" s="26" t="str">
        <x:v>R27</x:v>
      </x:c>
      <x:c r="B31" s="26" t="str">
        <x:v>Security &amp; assurance</x:v>
      </x:c>
      <x:c r="C31" s="26" t="str">
        <x:v>Compliance / internal audit lead</x:v>
      </x:c>
      <x:c r="D31" s="26" t="str">
        <x:v>Assess control design and effectiveness, evidence and audit independence.</x:v>
      </x:c>
      <x:c r="E31" s="26" t="str">
        <x:v>Control matrix; exception register; audit plan.</x:v>
      </x:c>
      <x:c r="F31" s="26" t="str">
        <x:v>Oversight / independent</x:v>
      </x:c>
      <x:c r="G31" s="26" t="str">
        <x:v>Design–operations</x:v>
      </x:c>
      <x:c r="H31" s="26" t="str"/>
      <x:c r="I31" s="26" t="str">
        <x:v>Unassigned</x:v>
      </x:c>
    </x:row>
    <x:row r="32" ht="51" customHeight="1">
      <x:c r="A32" s="26" t="str">
        <x:v>R28</x:v>
      </x:c>
      <x:c r="B32" s="26" t="str">
        <x:v>Product engineering</x:v>
      </x:c>
      <x:c r="C32" s="26" t="str">
        <x:v>WordPress plugin engineer</x:v>
      </x:c>
      <x:c r="D32" s="26" t="str">
        <x:v>Build low-privilege integration, admin links, secure upgrades and REST bridge.</x:v>
      </x:c>
      <x:c r="E32" s="26" t="str">
        <x:v>Signed plugin; WP capability boundaries; upgrade tests.</x:v>
      </x:c>
      <x:c r="F32" s="26" t="str">
        <x:v>Core</x:v>
      </x:c>
      <x:c r="G32" s="26" t="str">
        <x:v>Build–operations</x:v>
      </x:c>
      <x:c r="H32" s="26" t="str"/>
      <x:c r="I32" s="26" t="str">
        <x:v>Unassigned</x:v>
      </x:c>
    </x:row>
    <x:row r="33" ht="51" customHeight="1">
      <x:c r="A33" s="26" t="str">
        <x:v>R29</x:v>
      </x:c>
      <x:c r="B33" s="26" t="str">
        <x:v>Product engineering</x:v>
      </x:c>
      <x:c r="C33" s="26" t="str">
        <x:v>Backend and API engineer</x:v>
      </x:c>
      <x:c r="D33" s="26" t="str">
        <x:v>Implement tenants, entitlements, document and lifecycle APIs.</x:v>
      </x:c>
      <x:c r="E33" s="26" t="str">
        <x:v>Versioned API; authorization middleware; event flows.</x:v>
      </x:c>
      <x:c r="F33" s="26" t="str">
        <x:v>Core, multiple</x:v>
      </x:c>
      <x:c r="G33" s="26" t="str">
        <x:v>Build–operations</x:v>
      </x:c>
      <x:c r="H33" s="26" t="str"/>
      <x:c r="I33" s="26" t="str">
        <x:v>Unassigned</x:v>
      </x:c>
    </x:row>
    <x:row r="34" ht="51" customHeight="1">
      <x:c r="A34" s="26" t="str">
        <x:v>R30</x:v>
      </x:c>
      <x:c r="B34" s="26" t="str">
        <x:v>Product engineering</x:v>
      </x:c>
      <x:c r="C34" s="26" t="str">
        <x:v>Web frontend engineer</x:v>
      </x:c>
      <x:c r="D34" s="26" t="str">
        <x:v>Build dashboards, dialogs, document workflows and accessibility.</x:v>
      </x:c>
      <x:c r="E34" s="26" t="str">
        <x:v>Responsive, internationalized web client and component library.</x:v>
      </x:c>
      <x:c r="F34" s="26" t="str">
        <x:v>Core, multiple</x:v>
      </x:c>
      <x:c r="G34" s="26" t="str">
        <x:v>Build–operations</x:v>
      </x:c>
      <x:c r="H34" s="26" t="str"/>
      <x:c r="I34" s="26" t="str">
        <x:v>Unassigned</x:v>
      </x:c>
    </x:row>
    <x:row r="35" ht="51" customHeight="1">
      <x:c r="A35" s="26" t="str">
        <x:v>R31</x:v>
      </x:c>
      <x:c r="B35" s="26" t="str">
        <x:v>Product engineering</x:v>
      </x:c>
      <x:c r="C35" s="26" t="str">
        <x:v>Data architect / database engineer</x:v>
      </x:c>
      <x:c r="D35" s="26" t="str">
        <x:v>Define tenant isolation, metadata evolution, transactions and query controls.</x:v>
      </x:c>
      <x:c r="E35" s="26" t="str">
        <x:v>Logical model; isolation constraints; data lifecycle design.</x:v>
      </x:c>
      <x:c r="F35" s="26" t="str">
        <x:v>Core</x:v>
      </x:c>
      <x:c r="G35" s="26" t="str">
        <x:v>Design–operations</x:v>
      </x:c>
      <x:c r="H35" s="26" t="str"/>
      <x:c r="I35" s="26" t="str">
        <x:v>Unassigned</x:v>
      </x:c>
    </x:row>
    <x:row r="36" ht="51" customHeight="1">
      <x:c r="A36" s="26" t="str">
        <x:v>R32</x:v>
      </x:c>
      <x:c r="B36" s="26" t="str">
        <x:v>Product engineering</x:v>
      </x:c>
      <x:c r="C36" s="26" t="str">
        <x:v>Storage, conversion and file-processing engineer</x:v>
      </x:c>
      <x:c r="D36" s="26" t="str">
        <x:v>Build encrypted object paths, import pipeline and sandboxed previews.</x:v>
      </x:c>
      <x:c r="E36" s="26" t="str">
        <x:v>Storage adapters; scanning/quarantine; conversion sandboxes.</x:v>
      </x:c>
      <x:c r="F36" s="26" t="str">
        <x:v>Core</x:v>
      </x:c>
      <x:c r="G36" s="26" t="str">
        <x:v>Build–operations</x:v>
      </x:c>
      <x:c r="H36" s="26" t="str"/>
      <x:c r="I36" s="26" t="str">
        <x:v>Unassigned</x:v>
      </x:c>
    </x:row>
    <x:row r="37" ht="51" customHeight="1">
      <x:c r="A37" s="26" t="str">
        <x:v>R33</x:v>
      </x:c>
      <x:c r="B37" s="26" t="str">
        <x:v>Product engineering</x:v>
      </x:c>
      <x:c r="C37" s="26" t="str">
        <x:v>Workflow / business-process engineer</x:v>
      </x:c>
      <x:c r="D37" s="26" t="str">
        <x:v>Implement state machines, approval delegation, retries and audit binding.</x:v>
      </x:c>
      <x:c r="E37" s="26" t="str">
        <x:v>Versioned workflow engine; simulation and escalation tests.</x:v>
      </x:c>
      <x:c r="F37" s="26" t="str">
        <x:v>Core / specialist</x:v>
      </x:c>
      <x:c r="G37" s="26" t="str">
        <x:v>Build–operations</x:v>
      </x:c>
      <x:c r="H37" s="26" t="str"/>
      <x:c r="I37" s="26" t="str">
        <x:v>Unassigned</x:v>
      </x:c>
    </x:row>
    <x:row r="38" ht="51" customHeight="1">
      <x:c r="A38" s="26" t="str">
        <x:v>R34</x:v>
      </x:c>
      <x:c r="B38" s="26" t="str">
        <x:v>Product engineering</x:v>
      </x:c>
      <x:c r="C38" s="26" t="str">
        <x:v>Search / information retrieval engineer</x:v>
      </x:c>
      <x:c r="D38" s="26" t="str">
        <x:v>Handle metadata search, multilingual analyzers and mode-appropriate indexing.</x:v>
      </x:c>
      <x:c r="E38" s="26" t="str">
        <x:v>Search design; relevance evaluation; index isolation tests.</x:v>
      </x:c>
      <x:c r="F38" s="26" t="str">
        <x:v>Specialist</x:v>
      </x:c>
      <x:c r="G38" s="26" t="str">
        <x:v>Enterprise phase</x:v>
      </x:c>
      <x:c r="H38" s="26" t="str"/>
      <x:c r="I38" s="26" t="str">
        <x:v>Unassigned</x:v>
      </x:c>
    </x:row>
    <x:row r="39" ht="51" customHeight="1">
      <x:c r="A39" s="26" t="str">
        <x:v>R35</x:v>
      </x:c>
      <x:c r="B39" s="26" t="str">
        <x:v>Product engineering</x:v>
      </x:c>
      <x:c r="C39" s="26" t="str">
        <x:v>AI / ML engineering lead</x:v>
      </x:c>
      <x:c r="D39" s="26" t="str">
        <x:v>Build permission-trimmed retrieval, evaluation, output controls and provider policy.</x:v>
      </x:c>
      <x:c r="E39" s="26" t="str">
        <x:v>AI risk tests; grounded retrieval; model and cost governance.</x:v>
      </x:c>
      <x:c r="F39" s="26" t="str">
        <x:v>Specialist</x:v>
      </x:c>
      <x:c r="G39" s="26" t="str">
        <x:v>Enterprise phase</x:v>
      </x:c>
      <x:c r="H39" s="26" t="str"/>
      <x:c r="I39" s="26" t="str">
        <x:v>Unassigned</x:v>
      </x:c>
    </x:row>
    <x:row r="40" ht="51" customHeight="1">
      <x:c r="A40" s="26" t="str">
        <x:v>R36</x:v>
      </x:c>
      <x:c r="B40" s="26" t="str">
        <x:v>Product engineering</x:v>
      </x:c>
      <x:c r="C40" s="26" t="str">
        <x:v>Integration / connector engineer</x:v>
      </x:c>
      <x:c r="D40" s="26" t="str">
        <x:v>Build OIDC/SAML/SCIM, M365, webhooks and enterprise connectors.</x:v>
      </x:c>
      <x:c r="E40" s="26" t="str">
        <x:v>Connector contracts; event replay; permission mapping tests.</x:v>
      </x:c>
      <x:c r="F40" s="26" t="str">
        <x:v>Core / specialist</x:v>
      </x:c>
      <x:c r="G40" s="26" t="str">
        <x:v>Build–operations</x:v>
      </x:c>
      <x:c r="H40" s="26" t="str"/>
      <x:c r="I40" s="26" t="str">
        <x:v>Unassigned</x:v>
      </x:c>
    </x:row>
    <x:row r="41" ht="51" customHeight="1">
      <x:c r="A41" s="26" t="str">
        <x:v>R37</x:v>
      </x:c>
      <x:c r="B41" s="26" t="str">
        <x:v>Product engineering</x:v>
      </x:c>
      <x:c r="C41" s="26" t="str">
        <x:v>Trusted-client and mobile/desktop engineer</x:v>
      </x:c>
      <x:c r="D41" s="26" t="str">
        <x:v>Build independent signed client, E2EE device enrollment, offline protection.</x:v>
      </x:c>
      <x:c r="E41" s="26" t="str">
        <x:v>Trusted client; release signing; platform key storage and sync tests.</x:v>
      </x:c>
      <x:c r="F41" s="26" t="str">
        <x:v>Core; critical for E2EE</x:v>
      </x:c>
      <x:c r="G41" s="26" t="str">
        <x:v>Design–operations</x:v>
      </x:c>
      <x:c r="H41" s="26" t="str"/>
      <x:c r="I41" s="26" t="str">
        <x:v>Unassigned</x:v>
      </x:c>
    </x:row>
    <x:row r="42" ht="51" customHeight="1">
      <x:c r="A42" s="26" t="str">
        <x:v>R38</x:v>
      </x:c>
      <x:c r="B42" s="26" t="str">
        <x:v>Product engineering</x:v>
      </x:c>
      <x:c r="C42" s="26" t="str">
        <x:v>DevOps / platform engineer</x:v>
      </x:c>
      <x:c r="D42" s="26" t="str">
        <x:v>Build infrastructure-as-code, CI/CD, isolated environments and delivery chain.</x:v>
      </x:c>
      <x:c r="E42" s="26" t="str">
        <x:v>IaC; provenance; scans; rollback and deployment pipelines.</x:v>
      </x:c>
      <x:c r="F42" s="26" t="str">
        <x:v>Core</x:v>
      </x:c>
      <x:c r="G42" s="26" t="str">
        <x:v>Build–operations</x:v>
      </x:c>
      <x:c r="H42" s="26" t="str"/>
      <x:c r="I42" s="26" t="str">
        <x:v>Unassigned</x:v>
      </x:c>
    </x:row>
    <x:row r="43" ht="51" customHeight="1">
      <x:c r="A43" s="26" t="str">
        <x:v>R39</x:v>
      </x:c>
      <x:c r="B43" s="26" t="str">
        <x:v>Product engineering</x:v>
      </x:c>
      <x:c r="C43" s="26" t="str">
        <x:v>SRE / disaster-recovery engineer</x:v>
      </x:c>
      <x:c r="D43" s="26" t="str">
        <x:v>Engineer SLOs, backup recoverability, observability and controlled restoration.</x:v>
      </x:c>
      <x:c r="E43" s="26" t="str">
        <x:v>SLO design; RTO/RPO drills; runbooks; capacity forecasts.</x:v>
      </x:c>
      <x:c r="F43" s="26" t="str">
        <x:v>Core / specialist</x:v>
      </x:c>
      <x:c r="G43" s="26" t="str">
        <x:v>Build–operations</x:v>
      </x:c>
      <x:c r="H43" s="26" t="str"/>
      <x:c r="I43" s="26" t="str">
        <x:v>Unassigned</x:v>
      </x:c>
    </x:row>
    <x:row r="44" ht="51" customHeight="1">
      <x:c r="A44" s="26" t="str">
        <x:v>R40</x:v>
      </x:c>
      <x:c r="B44" s="26" t="str">
        <x:v>Product engineering</x:v>
      </x:c>
      <x:c r="C44" s="26" t="str">
        <x:v>QA automation / test architect</x:v>
      </x:c>
      <x:c r="D44" s="26" t="str">
        <x:v>Own unit, integration, security regression, contract and E2E coverage.</x:v>
      </x:c>
      <x:c r="E44" s="26" t="str">
        <x:v>Test pyramid; requirement-to-test traceability; release reports.</x:v>
      </x:c>
      <x:c r="F44" s="26" t="str">
        <x:v>Core, multiple</x:v>
      </x:c>
      <x:c r="G44" s="26" t="str">
        <x:v>Build–operations</x:v>
      </x:c>
      <x:c r="H44" s="26" t="str"/>
      <x:c r="I44" s="26" t="str">
        <x:v>Unassigned</x:v>
      </x:c>
    </x:row>
    <x:row r="45" ht="51" customHeight="1">
      <x:c r="A45" s="26" t="str">
        <x:v>R41</x:v>
      </x:c>
      <x:c r="B45" s="26" t="str">
        <x:v>Product engineering</x:v>
      </x:c>
      <x:c r="C45" s="26" t="str">
        <x:v>Performance / capacity engineer</x:v>
      </x:c>
      <x:c r="D45" s="26" t="str">
        <x:v>Test upload, search, 10-tenant concurrency, worst-case workflows.</x:v>
      </x:c>
      <x:c r="E45" s="26" t="str">
        <x:v>Load model; benchmarks; capacity limits and budgets.</x:v>
      </x:c>
      <x:c r="F45" s="26" t="str">
        <x:v>Specialist</x:v>
      </x:c>
      <x:c r="G45" s="26" t="str">
        <x:v>Before pilot &amp; scale</x:v>
      </x:c>
      <x:c r="H45" s="26" t="str"/>
      <x:c r="I45" s="26" t="str">
        <x:v>Unassigned</x:v>
      </x:c>
    </x:row>
    <x:row r="46" ht="51" customHeight="1">
      <x:c r="A46" s="26" t="str">
        <x:v>R42</x:v>
      </x:c>
      <x:c r="B46" s="26" t="str">
        <x:v>Product engineering</x:v>
      </x:c>
      <x:c r="C46" s="26" t="str">
        <x:v>Migration and data-quality engineer</x:v>
      </x:c>
      <x:c r="D46" s="26" t="str">
        <x:v>Move legacy documents, ACLs, versions and metadata without leakage.</x:v>
      </x:c>
      <x:c r="E46" s="26" t="str">
        <x:v>Dry-run reports; integrity manifests; reconciliation.</x:v>
      </x:c>
      <x:c r="F46" s="26" t="str">
        <x:v>Specialist</x:v>
      </x:c>
      <x:c r="G46" s="26" t="str">
        <x:v>Pilot–rollout</x:v>
      </x:c>
      <x:c r="H46" s="26" t="str"/>
      <x:c r="I46" s="26" t="str">
        <x:v>Unassigned</x:v>
      </x:c>
    </x:row>
    <x:row r="47" ht="51" customHeight="1">
      <x:c r="A47" s="26" t="str">
        <x:v>R43</x:v>
      </x:c>
      <x:c r="B47" s="26" t="str">
        <x:v>Product engineering</x:v>
      </x:c>
      <x:c r="C47" s="26" t="str">
        <x:v>Technical writer and training designer</x:v>
      </x:c>
      <x:c r="D47" s="26" t="str">
        <x:v>Explain end-user actions, admin policies, supported security modes and limits.</x:v>
      </x:c>
      <x:c r="E47" s="26" t="str">
        <x:v>Product documentation; API docs; localized training materials.</x:v>
      </x:c>
      <x:c r="F47" s="26" t="str">
        <x:v>Specialist</x:v>
      </x:c>
      <x:c r="G47" s="26" t="str">
        <x:v>Build–operations</x:v>
      </x:c>
      <x:c r="H47" s="26" t="str"/>
      <x:c r="I47" s="26" t="str">
        <x:v>Unassigned</x:v>
      </x:c>
    </x:row>
    <x:row r="48" ht="51" customHeight="1">
      <x:c r="A48" s="26" t="str">
        <x:v>R44</x:v>
      </x:c>
      <x:c r="B48" s="26" t="str">
        <x:v>Product engineering</x:v>
      </x:c>
      <x:c r="C48" s="26" t="str">
        <x:v>Support / customer success engineer</x:v>
      </x:c>
      <x:c r="D48" s="26" t="str">
        <x:v>Design safe diagnostics, support access and long-term service adoption.</x:v>
      </x:c>
      <x:c r="E48" s="26" t="str">
        <x:v>Support playbooks; escalation; no-plaintext debug tools.</x:v>
      </x:c>
      <x:c r="F48" s="26" t="str">
        <x:v>Operational</x:v>
      </x:c>
      <x:c r="G48" s="26" t="str">
        <x:v>Pilot–operations</x:v>
      </x:c>
      <x:c r="H48" s="26" t="str"/>
      <x:c r="I48" s="26" t="str">
        <x:v>Unassigned</x:v>
      </x:c>
    </x:row>
  </x:sheetData>
  <x:mergeCells>
    <x:mergeCell ref="A1:I2"/>
    <x:mergeCell ref="A3:I3"/>
  </x:mergeCells>
  <x:dataValidations count="1">
    <x:dataValidation type="list" sqref="I5:I48">
      <x:formula1>"Unassigned,Proposed,Assigned,Active,Complete"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34" hidden="0" customWidth="1"/>
    <x:col min="4" max="4" width="16" hidden="0" customWidth="1"/>
    <x:col min="5" max="5" width="26" hidden="0" customWidth="1"/>
    <x:col min="6" max="6" width="29" hidden="0" customWidth="1"/>
    <x:col min="7" max="7" width="64" hidden="0" customWidth="1"/>
    <x:col min="8" max="8" width="62" hidden="0" customWidth="1"/>
    <x:col min="9" max="9" width="14" hidden="0" customWidth="1"/>
    <x:col min="10" max="10" width="18" hidden="0" customWidth="1"/>
  </x:cols>
  <x:sheetData>
    <x:row r="1" ht="23" customHeight="1">
      <x:c r="A1" s="4" t="str">
        <x:v>MODULE OWNERSHIP  |  KMS DELIVERY REVIEW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9" customHeight="1">
      <x:c r="A3" s="11" t="str">
        <x:v>One accountable domain role per module; delivery and independent review must be separated on high-assurance features. All 22 modules tie to the 346-feature baseline.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28" customHeight="1">
      <x:c r="A4" s="19" t="str">
        <x:v>Module</x:v>
      </x:c>
      <x:c r="B4" s="19" t="str">
        <x:v>Features</x:v>
      </x:c>
      <x:c r="C4" s="19" t="str">
        <x:v>Module focus</x:v>
      </x:c>
      <x:c r="D4" s="19" t="str">
        <x:v>Accountable</x:v>
      </x:c>
      <x:c r="E4" s="19" t="str">
        <x:v>Build leads</x:v>
      </x:c>
      <x:c r="F4" s="19" t="str">
        <x:v>Required reviewers</x:v>
      </x:c>
      <x:c r="G4" s="19" t="str">
        <x:v>Incorporate into design</x:v>
      </x:c>
      <x:c r="H4" s="19" t="str">
        <x:v>Release acceptance evidence</x:v>
      </x:c>
      <x:c r="I4" s="19" t="str">
        <x:v>Risk tier</x:v>
      </x:c>
      <x:c r="J4" s="19" t="str">
        <x:v>Review status</x:v>
      </x:c>
    </x:row>
    <x:row r="5" ht="51" customHeight="1">
      <x:c r="A5" s="26" t="str">
        <x:v>TEN</x:v>
      </x:c>
      <x:c r="B5" s="26" t="n">
        <x:v>14</x:v>
      </x:c>
      <x:c r="C5" s="26" t="str">
        <x:v>Tenant governance / subsidiaries</x:v>
      </x:c>
      <x:c r="D5" s="26" t="str">
        <x:v>R02</x:v>
      </x:c>
      <x:c r="E5" s="26" t="str">
        <x:v>R07, R29, R31</x:v>
      </x:c>
      <x:c r="F5" s="26" t="str">
        <x:v>R11, R12, R21, R19</x:v>
      </x:c>
      <x:c r="G5" s="26" t="str">
        <x:v>Model legal company boundaries, groups and project spaces separately; prohibit implicit holding-admin document access; apply group minimum policies without silent privilege expansion; isolate DB, object storage, queues, search, logs, backups, and caches; design mergers/splits as supervised migrations.</x:v>
      </x:c>
      <x:c r="H5" s="26" t="str">
        <x:v>A cross-tenant user, cache key, search request, export job or backup restore never reveals unauthorized tenant material.</x:v>
      </x:c>
      <x:c r="I5" s="26" t="str">
        <x:v>Critical</x:v>
      </x:c>
      <x:c r="J5" s="26" t="str">
        <x:v>Unreviewed</x:v>
      </x:c>
    </x:row>
    <x:row r="6" ht="51" customHeight="1">
      <x:c r="A6" s="26" t="str">
        <x:v>IAM</x:v>
      </x:c>
      <x:c r="B6" s="26" t="n">
        <x:v>17</x:v>
      </x:c>
      <x:c r="C6" s="26" t="str">
        <x:v>Membership, roles and policy</x:v>
      </x:c>
      <x:c r="D6" s="26" t="str">
        <x:v>R21</x:v>
      </x:c>
      <x:c r="E6" s="26" t="str">
        <x:v>R29, R31, R30</x:v>
      </x:c>
      <x:c r="F6" s="26" t="str">
        <x:v>R02, R19, R11, R27</x:v>
      </x:c>
      <x:c r="G6" s="26" t="str">
        <x:v>Formalize RBAC + ABAC + ACL evaluation order, global hard-deny, explicit deny, inheritance and policy versioning; enforce separation of duties; prevent self-grants and delegation loops; invalidate permissions in jobs, URLs and offline clients; provide decision explanations without leaking titles.</x:v>
      </x:c>
      <x:c r="H6" s="26" t="str">
        <x:v>For each permission state, API, previews, exports, mobile, workers and search enforce the same decision after revocation.</x:v>
      </x:c>
      <x:c r="I6" s="26" t="str">
        <x:v>Critical</x:v>
      </x:c>
      <x:c r="J6" s="26" t="str">
        <x:v>Unreviewed</x:v>
      </x:c>
    </x:row>
    <x:row r="7" ht="51" customHeight="1">
      <x:c r="A7" s="26" t="str">
        <x:v>AUT</x:v>
      </x:c>
      <x:c r="B7" s="26" t="n">
        <x:v>13</x:v>
      </x:c>
      <x:c r="C7" s="26" t="str">
        <x:v>Authentication and devices</x:v>
      </x:c>
      <x:c r="D7" s="26" t="str">
        <x:v>R21</x:v>
      </x:c>
      <x:c r="E7" s="26" t="str">
        <x:v>R36, R37, R29</x:v>
      </x:c>
      <x:c r="F7" s="26" t="str">
        <x:v>R19, R22, R23, R14</x:v>
      </x:c>
      <x:c r="G7" s="26" t="str">
        <x:v>Use enterprise IdP and phishing-resistant factors for privileged access; separate WordPress and document-service sessions; map IdP identity to immutable tenant memberships; lifecycle-sync join/move/leave; sign and verify E2EE device public keys; specify lost-device and IdP-outage handling.</x:v>
      </x:c>
      <x:c r="H7" s="26" t="str">
        <x:v>Compromised WordPress cookies cannot mint a document-system privileged identity or enroll an unapproved E2EE device.</x:v>
      </x:c>
      <x:c r="I7" s="26" t="str">
        <x:v>Critical</x:v>
      </x:c>
      <x:c r="J7" s="26" t="str">
        <x:v>Unreviewed</x:v>
      </x:c>
    </x:row>
    <x:row r="8" ht="51" customHeight="1">
      <x:c r="A8" s="26" t="str">
        <x:v>DOC</x:v>
      </x:c>
      <x:c r="B8" s="26" t="n">
        <x:v>22</x:v>
      </x:c>
      <x:c r="C8" s="26" t="str">
        <x:v>Document capture and lifecycle</x:v>
      </x:c>
      <x:c r="D8" s="26" t="str">
        <x:v>R03</x:v>
      </x:c>
      <x:c r="E8" s="26" t="str">
        <x:v>R32, R29, R31</x:v>
      </x:c>
      <x:c r="F8" s="26" t="str">
        <x:v>R12, R19, R20, R11</x:v>
      </x:c>
      <x:c r="G8" s="26" t="str">
        <x:v>Version documents immutably with content integrity and provenance; quarantine new uploads; validate type by content; sandbox all converters; make document metadata, previews and exports classification-aware; guarantee idempotency and quota enforcement on resumable uploads.</x:v>
      </x:c>
      <x:c r="H8" s="26" t="str">
        <x:v>Malformed file, aborted upload, version race or failed scan cannot expose partially processed plaintext or bypass approval.</x:v>
      </x:c>
      <x:c r="I8" s="26" t="str">
        <x:v>Critical</x:v>
      </x:c>
      <x:c r="J8" s="26" t="str">
        <x:v>Unreviewed</x:v>
      </x:c>
    </x:row>
    <x:row r="9" ht="51" customHeight="1">
      <x:c r="A9" s="26" t="str">
        <x:v>MET</x:v>
      </x:c>
      <x:c r="B9" s="26" t="n">
        <x:v>16</x:v>
      </x:c>
      <x:c r="C9" s="26" t="str">
        <x:v>Metadata, taxonomy and search</x:v>
      </x:c>
      <x:c r="D9" s="26" t="str">
        <x:v>R15</x:v>
      </x:c>
      <x:c r="E9" s="26" t="str">
        <x:v>R34, R31, R29</x:v>
      </x:c>
      <x:c r="F9" s="26" t="str">
        <x:v>R20, R14, R17, R19</x:v>
      </x:c>
      <x:c r="G9" s="26" t="str">
        <x:v>Version metadata schemas and taxonomies; specify encrypted/public fields and side-channel leakage budgets; tenant-scope autosuggest, indexes, caches and analytics; support locale-specific word segmentation; keep E2EE content search on trusted clients or explicitly approved leakage-limited protocols.</x:v>
      </x:c>
      <x:c r="H9" s="26" t="str">
        <x:v>Search returns only authorized resources and cannot reveal confidential filenames, snippets or existence through autocomplete.</x:v>
      </x:c>
      <x:c r="I9" s="26" t="str">
        <x:v>High</x:v>
      </x:c>
      <x:c r="J9" s="26" t="str">
        <x:v>Unreviewed</x:v>
      </x:c>
    </x:row>
    <x:row r="10" ht="51" customHeight="1">
      <x:c r="A10" s="26" t="str">
        <x:v>COL</x:v>
      </x:c>
      <x:c r="B10" s="26" t="n">
        <x:v>16</x:v>
      </x:c>
      <x:c r="C10" s="26" t="str">
        <x:v>Editing and collaboration</x:v>
      </x:c>
      <x:c r="D10" s="26" t="str">
        <x:v>R03</x:v>
      </x:c>
      <x:c r="E10" s="26" t="str">
        <x:v>R30, R29, R37</x:v>
      </x:c>
      <x:c r="F10" s="26" t="str">
        <x:v>R20, R12, R19, R18</x:v>
      </x:c>
      <x:c r="G10" s="26" t="str">
        <x:v>Separate draft collaboration from immutable approved record; resolve locks, autosaves, failed merges and approvals; sandbox third-party editors; make E2EE collaborative editing a separate approved protocol; treat watermarks and screenshot controls as deterrents, not guarantees.</x:v>
      </x:c>
      <x:c r="H10" s="26" t="str">
        <x:v>Unauthorized reviewer cannot change an approved hash or gain editor plaintext through preview/editor callback.</x:v>
      </x:c>
      <x:c r="I10" s="26" t="str">
        <x:v>High</x:v>
      </x:c>
      <x:c r="J10" s="26" t="str">
        <x:v>Unreviewed</x:v>
      </x:c>
    </x:row>
    <x:row r="11" ht="51" customHeight="1">
      <x:c r="A11" s="26" t="str">
        <x:v>KNO</x:v>
      </x:c>
      <x:c r="B11" s="26" t="n">
        <x:v>16</x:v>
      </x:c>
      <x:c r="C11" s="26" t="str">
        <x:v>Knowledge management / wiki</x:v>
      </x:c>
      <x:c r="D11" s="26" t="str">
        <x:v>R15</x:v>
      </x:c>
      <x:c r="E11" s="26" t="str">
        <x:v>R30, R29, R34</x:v>
      </x:c>
      <x:c r="F11" s="26" t="str">
        <x:v>R11, R12, R17, R18</x:v>
      </x:c>
      <x:c r="G11" s="26" t="str">
        <x:v>Assign content steward and periodic validation; separate canonical policies from discussion threads; enforce link traversal rights; maintain multilingual article versions and fallback markers; prove read-and-attest evidence binds a specific version and language.</x:v>
      </x:c>
      <x:c r="H11" s="26" t="str">
        <x:v>Users see only permitted linked knowledge; acknowledgment is linked to exact approved revision, not mutable draft.</x:v>
      </x:c>
      <x:c r="I11" s="26" t="str">
        <x:v>High</x:v>
      </x:c>
      <x:c r="J11" s="26" t="str">
        <x:v>Unreviewed</x:v>
      </x:c>
    </x:row>
    <x:row r="12" ht="51" customHeight="1">
      <x:c r="A12" s="26" t="str">
        <x:v>WFL</x:v>
      </x:c>
      <x:c r="B12" s="26" t="n">
        <x:v>19</x:v>
      </x:c>
      <x:c r="C12" s="26" t="str">
        <x:v>Workflow and approvals</x:v>
      </x:c>
      <x:c r="D12" s="26" t="str">
        <x:v>R03</x:v>
      </x:c>
      <x:c r="E12" s="26" t="str">
        <x:v>R33, R29, R30</x:v>
      </x:c>
      <x:c r="F12" s="26" t="str">
        <x:v>R21, R12, R13, R19</x:v>
      </x:c>
      <x:c r="G12" s="26" t="str">
        <x:v>Design versioned state machines with explicit retry/idempotency semantics; enforce maker/checker, approval quorum and delegated-authority limits; bind approval to document hash/policy; protect confidential notification payload; distinguish internal approval from legally qualified e-signature.</x:v>
      </x:c>
      <x:c r="H12" s="26" t="str">
        <x:v>Workflow cannot be self-approved through race conditions, delegation cycles, replayed jobs or version swaps.</x:v>
      </x:c>
      <x:c r="I12" s="26" t="str">
        <x:v>High</x:v>
      </x:c>
      <x:c r="J12" s="26" t="str">
        <x:v>Unreviewed</x:v>
      </x:c>
    </x:row>
    <x:row r="13" ht="51" customHeight="1">
      <x:c r="A13" s="26" t="str">
        <x:v>REC</x:v>
      </x:c>
      <x:c r="B13" s="26" t="n">
        <x:v>18</x:v>
      </x:c>
      <x:c r="C13" s="26" t="str">
        <x:v>Records, holds, eDiscovery</x:v>
      </x:c>
      <x:c r="D13" s="26" t="str">
        <x:v>R12</x:v>
      </x:c>
      <x:c r="E13" s="26" t="str">
        <x:v>R29, R31, R32</x:v>
      </x:c>
      <x:c r="F13" s="26" t="str">
        <x:v>R13, R14, R20, R27</x:v>
      </x:c>
      <x:c r="G13" s="26" t="str">
        <x:v>Capture jurisdictional retention rules, classification events, WORM scopes and legal hold precedence; define conflicts with subject erasure, backups and cryptographic deletion; assess whether E2EE discovery requires trustee-based access or custodian-driven client export.</x:v>
      </x:c>
      <x:c r="H13" s="26" t="str">
        <x:v>Hold blocks destructive operations across versions, exports, backup expiry and crypto-erasure until lawfully released.</x:v>
      </x:c>
      <x:c r="I13" s="26" t="str">
        <x:v>Critical</x:v>
      </x:c>
      <x:c r="J13" s="26" t="str">
        <x:v>Unreviewed</x:v>
      </x:c>
    </x:row>
    <x:row r="14" ht="51" customHeight="1">
      <x:c r="A14" s="26" t="str">
        <x:v>ENC</x:v>
      </x:c>
      <x:c r="B14" s="26" t="n">
        <x:v>20</x:v>
      </x:c>
      <x:c r="C14" s="26" t="str">
        <x:v>Encryption / keys / E2EE</x:v>
      </x:c>
      <x:c r="D14" s="26" t="str">
        <x:v>R20</x:v>
      </x:c>
      <x:c r="E14" s="26" t="str">
        <x:v>R37, R32, R29</x:v>
      </x:c>
      <x:c r="F14" s="26" t="str">
        <x:v>R25, R19, R21, R26</x:v>
      </x:c>
      <x:c r="G14" s="26" t="str">
        <x:v>Independent trusted code distribution must withstand a WordPress breach; use reviewed AEAD and per-version keys, authenticated document context, verified recipient identities, rekey and recovery models; explicitly expose recovery-vs-zero-access trade-off; test WordPress takeover.</x:v>
      </x:c>
      <x:c r="H14" s="26" t="str">
        <x:v>External reviewers reproduce crypto vectors; simulated WordPress RCE cannot decrypt protected records or forge recipients.</x:v>
      </x:c>
      <x:c r="I14" s="26" t="str">
        <x:v>Critical</x:v>
      </x:c>
      <x:c r="J14" s="26" t="str">
        <x:v>Unreviewed</x:v>
      </x:c>
    </x:row>
    <x:row r="15" ht="51" customHeight="1">
      <x:c r="A15" s="26" t="str">
        <x:v>SEC</x:v>
      </x:c>
      <x:c r="B15" s="26" t="n">
        <x:v>16</x:v>
      </x:c>
      <x:c r="C15" s="26" t="str">
        <x:v>Threat prevention and detection</x:v>
      </x:c>
      <x:c r="D15" s="26" t="str">
        <x:v>R19</x:v>
      </x:c>
      <x:c r="E15" s="26" t="str">
        <x:v>R22, R23, R28</x:v>
      </x:c>
      <x:c r="F15" s="26" t="str">
        <x:v>R24, R25, R27, R14</x:v>
      </x:c>
      <x:c r="G15" s="26" t="str">
        <x:v>Threat-model tenant enumeration, malicious file parsing, SSRF, DLP gaps, supply-chain compromise, secrets leakage and abuse; segregate malware scanners and audit pipelines; produce signed SBOM/release provenance and vulnerability response process.</x:v>
      </x:c>
      <x:c r="H15" s="26" t="str">
        <x:v>A full red-team sequence includes cross-tenant, malicious-file, compromised plug-in and service-credential compromise.</x:v>
      </x:c>
      <x:c r="I15" s="26" t="str">
        <x:v>Critical</x:v>
      </x:c>
      <x:c r="J15" s="26" t="str">
        <x:v>Unreviewed</x:v>
      </x:c>
    </x:row>
    <x:row r="16" ht="51" customHeight="1">
      <x:c r="A16" s="26" t="str">
        <x:v>EXT</x:v>
      </x:c>
      <x:c r="B16" s="26" t="n">
        <x:v>13</x:v>
      </x:c>
      <x:c r="C16" s="26" t="str">
        <x:v>Guests, sharing, data rooms</x:v>
      </x:c>
      <x:c r="D16" s="26" t="str">
        <x:v>R03</x:v>
      </x:c>
      <x:c r="E16" s="26" t="str">
        <x:v>R29, R37, R30</x:v>
      </x:c>
      <x:c r="F16" s="26" t="str">
        <x:v>R13, R14, R20, R21</x:v>
      </x:c>
      <x:c r="G16" s="26" t="str">
        <x:v>Verify external key ownership and legal recipient identity; require source-tenant consent for intercompany disclosure; set expiry, purpose, review and download policy; prevent cross-bidder leakage; treat guest offboarding and past downloads separately.</x:v>
      </x:c>
      <x:c r="H16" s="26" t="str">
        <x:v>Sharing to Subsidiary B never creates blanket rights for B or leaks material via email or data-room logs.</x:v>
      </x:c>
      <x:c r="I16" s="26" t="str">
        <x:v>High</x:v>
      </x:c>
      <x:c r="J16" s="26" t="str">
        <x:v>Unreviewed</x:v>
      </x:c>
    </x:row>
    <x:row r="17" ht="51" customHeight="1">
      <x:c r="A17" s="26" t="str">
        <x:v>RPT</x:v>
      </x:c>
      <x:c r="B17" s="26" t="n">
        <x:v>14</x:v>
      </x:c>
      <x:c r="C17" s="26" t="str">
        <x:v>Audit, oversight and analytics</x:v>
      </x:c>
      <x:c r="D17" s="26" t="str">
        <x:v>R27</x:v>
      </x:c>
      <x:c r="E17" s="26" t="str">
        <x:v>R29, R31, R23</x:v>
      </x:c>
      <x:c r="F17" s="26" t="str">
        <x:v>R14, R12, R19, R02</x:v>
      </x:c>
      <x:c r="G17" s="26" t="str">
        <x:v>Write independently retained and integrity-protected events; choose event schema, clock synchronization and redaction; separate subsidiary record-level audit from group aggregate reporting; limit queryable metadata to avoid inference; define audit retention and regulator access.</x:v>
      </x:c>
      <x:c r="H17" s="26" t="str">
        <x:v>Neither WordPress admin nor subsidiary admin can erase evidence of their access or infer confidential sibling tenants.</x:v>
      </x:c>
      <x:c r="I17" s="26" t="str">
        <x:v>Critical</x:v>
      </x:c>
      <x:c r="J17" s="26" t="str">
        <x:v>Unreviewed</x:v>
      </x:c>
    </x:row>
    <x:row r="18" ht="51" customHeight="1">
      <x:c r="A18" s="26" t="str">
        <x:v>AIX</x:v>
      </x:c>
      <x:c r="B18" s="26" t="n">
        <x:v>17</x:v>
      </x:c>
      <x:c r="C18" s="26" t="str">
        <x:v>AI and decision support</x:v>
      </x:c>
      <x:c r="D18" s="26" t="str">
        <x:v>R03</x:v>
      </x:c>
      <x:c r="E18" s="26" t="str">
        <x:v>R35, R34, R29</x:v>
      </x:c>
      <x:c r="F18" s="26" t="str">
        <x:v>R14, R20, R19, R13</x:v>
      </x:c>
      <x:c r="G18" s="26" t="str">
        <x:v>Default deny on highly classified material and E2EE server inference; permission-check at retrieval and generation, not just indexing; protect embeddings, prompts and outputs; defend prompt injection, track models/providers, evaluate accuracy by language; require human approval for consequential decisions.</x:v>
      </x:c>
      <x:c r="H18" s="26" t="str">
        <x:v>Revoked document cannot appear in RAG retrieval, answer citations, embeddings or cached model responses.</x:v>
      </x:c>
      <x:c r="I18" s="26" t="str">
        <x:v>High</x:v>
      </x:c>
      <x:c r="J18" s="26" t="str">
        <x:v>Unreviewed</x:v>
      </x:c>
    </x:row>
    <x:row r="19" ht="51" customHeight="1">
      <x:c r="A19" s="26" t="str">
        <x:v>L10</x:v>
      </x:c>
      <x:c r="B19" s="26" t="n">
        <x:v>15</x:v>
      </x:c>
      <x:c r="C19" s="26" t="str">
        <x:v>13 languages and accessibility</x:v>
      </x:c>
      <x:c r="D19" s="26" t="str">
        <x:v>R17</x:v>
      </x:c>
      <x:c r="E19" s="26" t="str">
        <x:v>R30, R37, R43</x:v>
      </x:c>
      <x:c r="F19" s="26" t="str">
        <x:v>R18, R16, R11, R15</x:v>
      </x:c>
      <x:c r="G19" s="26" t="str">
        <x:v>Native review for English, Persian, French, Turkish, Russian, Simplified Chinese, German, Portuguese, Spanish, Hindi, Japanese, Arabic and Armenian; define regional variants; handle Unicode normalization, RTL text mixing, calendars/time zones, plural forms, fonts and WCAG 2.2 AA.</x:v>
      </x:c>
      <x:c r="H19" s="26" t="str">
        <x:v>Every core journey passes native-speaker QA and keyboard/screen-reader testing in both RTL and LTR.</x:v>
      </x:c>
      <x:c r="I19" s="26" t="str">
        <x:v>High</x:v>
      </x:c>
      <x:c r="J19" s="26" t="str">
        <x:v>Unreviewed</x:v>
      </x:c>
    </x:row>
    <x:row r="20" ht="51" customHeight="1">
      <x:c r="A20" s="26" t="str">
        <x:v>API</x:v>
      </x:c>
      <x:c r="B20" s="26" t="n">
        <x:v>17</x:v>
      </x:c>
      <x:c r="C20" s="26" t="str">
        <x:v>External APIs and connectors</x:v>
      </x:c>
      <x:c r="D20" s="26" t="str">
        <x:v>R07</x:v>
      </x:c>
      <x:c r="E20" s="26" t="str">
        <x:v>R36, R29, R28</x:v>
      </x:c>
      <x:c r="F20" s="26" t="str">
        <x:v>R21, R19, R22, R09</x:v>
      </x:c>
      <x:c r="G20" s="26" t="str">
        <x:v>Minimize WordPress bridge privileges; enforce tenant-scoped token audiences and expiry; sign webhooks with replay controls; make retries idempotent; version schemas; prohibit connectors from bypassing legal holds, classification or encryption mode.</x:v>
      </x:c>
      <x:c r="H20" s="26" t="str">
        <x:v>Forged webhook, compromised plugin, tenantless API key or connector replay cannot perform forbidden operations.</x:v>
      </x:c>
      <x:c r="I20" s="26" t="str">
        <x:v>Critical</x:v>
      </x:c>
      <x:c r="J20" s="26" t="str">
        <x:v>Unreviewed</x:v>
      </x:c>
    </x:row>
    <x:row r="21" ht="51" customHeight="1">
      <x:c r="A21" s="26" t="str">
        <x:v>UX</x:v>
      </x:c>
      <x:c r="B21" s="26" t="n">
        <x:v>13</x:v>
      </x:c>
      <x:c r="C21" s="26" t="str">
        <x:v>Experience and productivity</x:v>
      </x:c>
      <x:c r="D21" s="26" t="str">
        <x:v>R16</x:v>
      </x:c>
      <x:c r="E21" s="26" t="str">
        <x:v>R30, R37</x:v>
      </x:c>
      <x:c r="F21" s="26" t="str">
        <x:v>R18, R17, R11, R20</x:v>
      </x:c>
      <x:c r="G21" s="26" t="str">
        <x:v>Use unmistakable tenant context and confidentiality-mode cues; explain why an action is denied without disclosing resources; support safe bulk operations, escape hatches, accessible approvals and reliable upload progress; ensure privacy of notifications and recent-item widgets.</x:v>
      </x:c>
      <x:c r="H21" s="26" t="str">
        <x:v>Usability sessions show administrators do not mistake group-wide authority for permission to view subsidiary content.</x:v>
      </x:c>
      <x:c r="I21" s="26" t="str">
        <x:v>High</x:v>
      </x:c>
      <x:c r="J21" s="26" t="str">
        <x:v>Unreviewed</x:v>
      </x:c>
    </x:row>
    <x:row r="22" ht="51" customHeight="1">
      <x:c r="A22" s="26" t="str">
        <x:v>MOB</x:v>
      </x:c>
      <x:c r="B22" s="26" t="n">
        <x:v>12</x:v>
      </x:c>
      <x:c r="C22" s="26" t="str">
        <x:v>Mobile, desktop and offline</x:v>
      </x:c>
      <x:c r="D22" s="26" t="str">
        <x:v>R37</x:v>
      </x:c>
      <x:c r="E22" s="26" t="str">
        <x:v>R30, R36, R39</x:v>
      </x:c>
      <x:c r="F22" s="26" t="str">
        <x:v>R20, R21, R22, R18</x:v>
      </x:c>
      <x:c r="G22" s="26" t="str">
        <x:v>Implement signed app updates, hardware-backed local secrets where supported, lost-device offboarding, cache quotas, offline expiry, sync conflicts and remote wipe best-effort warnings; test independent trust from WordPress and 13-language UI.</x:v>
      </x:c>
      <x:c r="H22" s="26" t="str">
        <x:v>Offline user cannot access never-synced files or new versions after revocation; limitations for existing cached files are documented.</x:v>
      </x:c>
      <x:c r="I22" s="26" t="str">
        <x:v>High</x:v>
      </x:c>
      <x:c r="J22" s="26" t="str">
        <x:v>Unreviewed</x:v>
      </x:c>
    </x:row>
    <x:row r="23" ht="51" customHeight="1">
      <x:c r="A23" s="26" t="str">
        <x:v>PRV</x:v>
      </x:c>
      <x:c r="B23" s="26" t="n">
        <x:v>14</x:v>
      </x:c>
      <x:c r="C23" s="26" t="str">
        <x:v>Privacy, residency and compliance</x:v>
      </x:c>
      <x:c r="D23" s="26" t="str">
        <x:v>R14</x:v>
      </x:c>
      <x:c r="E23" s="26" t="str">
        <x:v>R29, R31, R39</x:v>
      </x:c>
      <x:c r="F23" s="26" t="str">
        <x:v>R13, R12, R27, R09</x:v>
      </x:c>
      <x:c r="G23" s="26" t="str">
        <x:v>Identify controller/processor relationships per legal entity, data maps and subprocessors; configure regional storage and key access; reconcile privacy requests with holds; scope analytics; assess incident notification duties and lawful cross-border transfers before deployment.</x:v>
      </x:c>
      <x:c r="H23" s="26" t="str">
        <x:v>Requests for access, deletion, export and residency evidence complete with recorded lawful exceptions and approvals.</x:v>
      </x:c>
      <x:c r="I23" s="26" t="str">
        <x:v>Critical</x:v>
      </x:c>
      <x:c r="J23" s="26" t="str">
        <x:v>Unreviewed</x:v>
      </x:c>
    </x:row>
    <x:row r="24" ht="51" customHeight="1">
      <x:c r="A24" s="26" t="str">
        <x:v>OPS</x:v>
      </x:c>
      <x:c r="B24" s="26" t="n">
        <x:v>21</x:v>
      </x:c>
      <x:c r="C24" s="26" t="str">
        <x:v>Operations, backup and resilience</x:v>
      </x:c>
      <x:c r="D24" s="26" t="str">
        <x:v>R39</x:v>
      </x:c>
      <x:c r="E24" s="26" t="str">
        <x:v>R38, R22, R40</x:v>
      </x:c>
      <x:c r="F24" s="26" t="str">
        <x:v>R23, R25, R08, R27</x:v>
      </x:c>
      <x:c r="G24" s="26" t="str">
        <x:v>Define measurable SLO/RTO/RPO by mode, region and tier; verify restoration of data plus recovery keys and permissions; apply infrastructure isolation, immutable backups, provenance signing and supply-chain scanning; run incident, disaster and tenant-departure drills.</x:v>
      </x:c>
      <x:c r="H24" s="26" t="str">
        <x:v>Restore 10-tenant representative backup without orphaning keys, violating residency, or resurrecting revoked access.</x:v>
      </x:c>
      <x:c r="I24" s="26" t="str">
        <x:v>Critical</x:v>
      </x:c>
      <x:c r="J24" s="26" t="str">
        <x:v>Unreviewed</x:v>
      </x:c>
    </x:row>
    <x:row r="25" ht="51" customHeight="1">
      <x:c r="A25" s="26" t="str">
        <x:v>MIG</x:v>
      </x:c>
      <x:c r="B25" s="26" t="n">
        <x:v>13</x:v>
      </x:c>
      <x:c r="C25" s="26" t="str">
        <x:v>Migration and rollout</x:v>
      </x:c>
      <x:c r="D25" s="26" t="str">
        <x:v>R10</x:v>
      </x:c>
      <x:c r="E25" s="26" t="str">
        <x:v>R42, R36, R40</x:v>
      </x:c>
      <x:c r="F25" s="26" t="str">
        <x:v>R11, R12, R14, R17</x:v>
      </x:c>
      <x:c r="G25" s="26" t="str">
        <x:v>Inventory legacy records and ACLs, verify metadata semantics, create resumable staging, quarantine unsafe files and check chain of custody; reconcile identity conflicts; pilot at least two subsidiaries with different policies and a representative RTL language.</x:v>
      </x:c>
      <x:c r="H25" s="26" t="str">
        <x:v>Signed migration manifest shows all versions, records, holds and ACLs reconciled before cutover.</x:v>
      </x:c>
      <x:c r="I25" s="26" t="str">
        <x:v>High</x:v>
      </x:c>
      <x:c r="J25" s="26" t="str">
        <x:v>Unreviewed</x:v>
      </x:c>
    </x:row>
    <x:row r="26" ht="51" customHeight="1">
      <x:c r="A26" s="26" t="str">
        <x:v>VRP</x:v>
      </x:c>
      <x:c r="B26" s="26" t="n">
        <x:v>10</x:v>
      </x:c>
      <x:c r="C26" s="26" t="str">
        <x:v>Vertical enterprise modules</x:v>
      </x:c>
      <x:c r="D26" s="26" t="str">
        <x:v>R03</x:v>
      </x:c>
      <x:c r="E26" s="26" t="str">
        <x:v>R33, R29, R30</x:v>
      </x:c>
      <x:c r="F26" s="26" t="str">
        <x:v>R13, R12, R11, R20</x:v>
      </x:c>
      <x:c r="G26" s="26" t="str">
        <x:v>Treat board, HR, contracts, quality and procurement as separate domain workflows with distinct legal policies and confidentiality needs; define modular extension API, isolation rules and independent threat review for each added module.</x:v>
      </x:c>
      <x:c r="H26" s="26" t="str">
        <x:v>A new vertical extension cannot change another tenant’s policies or obtain zero-knowledge plaintext by default.</x:v>
      </x:c>
      <x:c r="I26" s="26" t="str">
        <x:v>Medium</x:v>
      </x:c>
      <x:c r="J26" s="26" t="str">
        <x:v>Unreviewed</x:v>
      </x:c>
    </x:row>
  </x:sheetData>
  <x:mergeCells>
    <x:mergeCell ref="A1:J2"/>
    <x:mergeCell ref="A3:J3"/>
  </x:mergeCells>
  <x:dataValidations count="1">
    <x:dataValidation type="list" sqref="J5:J26">
      <x:formula1>"Unreviewed,Designing,Reviewed,Approved,Blocked"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41" hidden="0" customWidth="1"/>
    <x:col min="4" max="4" width="18" hidden="0" customWidth="1"/>
    <x:col min="5" max="5" width="18" hidden="0" customWidth="1"/>
    <x:col min="6" max="6" width="18" hidden="0" customWidth="1"/>
    <x:col min="7" max="7" width="23" hidden="0" customWidth="1"/>
    <x:col min="8" max="8" width="13" hidden="0" customWidth="1"/>
    <x:col min="9" max="9" width="21" hidden="0" customWidth="1"/>
    <x:col min="10" max="10" width="20" hidden="0" customWidth="1"/>
    <x:col min="11" max="11" width="27" hidden="0" customWidth="1"/>
    <x:col min="12" max="12" width="15" hidden="0" customWidth="1"/>
  </x:cols>
  <x:sheetData>
    <x:row r="1" ht="23" customHeight="1">
      <x:c r="A1" s="4" t="str">
        <x:v>FEATURE TRACEABILITY  |  KMS DELIVERY REVIEW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9" customHeight="1">
      <x:c r="A3" s="11" t="str">
        <x:v>346 original requirement IDs preserved from the existing Blueprint. Assign individual owners, attach tests and set implementation status without losing baseline priority.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28" customHeight="1">
      <x:c r="A4" s="19" t="str">
        <x:v>Feature ID</x:v>
      </x:c>
      <x:c r="B4" s="19" t="str">
        <x:v>Module</x:v>
      </x:c>
      <x:c r="C4" s="19" t="str">
        <x:v>Existing feature</x:v>
      </x:c>
      <x:c r="D4" s="19" t="str">
        <x:v>Baseline priority</x:v>
      </x:c>
      <x:c r="E4" s="19" t="str">
        <x:v>Baseline release</x:v>
      </x:c>
      <x:c r="F4" s="19" t="str">
        <x:v>Accountable role</x:v>
      </x:c>
      <x:c r="G4" s="19" t="str">
        <x:v>Build responsible</x:v>
      </x:c>
      <x:c r="H4" s="19" t="str">
        <x:v>QA lead</x:v>
      </x:c>
      <x:c r="I4" s="19" t="str">
        <x:v>Review</x:v>
      </x:c>
      <x:c r="J4" s="19" t="str">
        <x:v>Implementation state</x:v>
      </x:c>
      <x:c r="K4" s="19" t="str">
        <x:v>Acceptance test link</x:v>
      </x:c>
      <x:c r="L4" s="19" t="str">
        <x:v>Module risk</x:v>
      </x:c>
    </x:row>
    <x:row r="5" ht="51" customHeight="1">
      <x:c r="A5" s="26" t="str">
        <x:v>TEN-01</x:v>
      </x:c>
      <x:c r="B5" s="26" t="str">
        <x:v>TEN</x:v>
      </x:c>
      <x:c r="C5" s="26" t="str">
        <x:v>Holding-company hierarchy</x:v>
      </x:c>
      <x:c r="D5" s="26" t="str">
        <x:v>MUST</x:v>
      </x:c>
      <x:c r="E5" s="26" t="str">
        <x:v>CORE</x:v>
      </x:c>
      <x:c r="F5" s="26" t="str">
        <x:v>R02</x:v>
      </x:c>
      <x:c r="G5" s="26" t="str">
        <x:v>R07, R29, R31</x:v>
      </x:c>
      <x:c r="H5" s="26" t="str">
        <x:v>R40</x:v>
      </x:c>
      <x:c r="I5" s="26" t="str">
        <x:v>R24</x:v>
      </x:c>
      <x:c r="J5" s="26" t="str">
        <x:v>Not started</x:v>
      </x:c>
      <x:c r="K5" s="26" t="str"/>
      <x:c r="L5" s="26" t="str">
        <x:v>Critical</x:v>
      </x:c>
    </x:row>
    <x:row r="6" ht="51" customHeight="1">
      <x:c r="A6" s="26" t="str">
        <x:v>TEN-02</x:v>
      </x:c>
      <x:c r="B6" s="26" t="str">
        <x:v>TEN</x:v>
      </x:c>
      <x:c r="C6" s="26" t="str">
        <x:v>Tenant provisioning</x:v>
      </x:c>
      <x:c r="D6" s="26" t="str">
        <x:v>MUST</x:v>
      </x:c>
      <x:c r="E6" s="26" t="str">
        <x:v>CORE</x:v>
      </x:c>
      <x:c r="F6" s="26" t="str">
        <x:v>R02</x:v>
      </x:c>
      <x:c r="G6" s="26" t="str">
        <x:v>R07, R29, R31</x:v>
      </x:c>
      <x:c r="H6" s="26" t="str">
        <x:v>R40</x:v>
      </x:c>
      <x:c r="I6" s="26" t="str">
        <x:v>R24</x:v>
      </x:c>
      <x:c r="J6" s="26" t="str">
        <x:v>Not started</x:v>
      </x:c>
      <x:c r="K6" s="26" t="str"/>
      <x:c r="L6" s="26" t="str">
        <x:v>Critical</x:v>
      </x:c>
    </x:row>
    <x:row r="7" ht="51" customHeight="1">
      <x:c r="A7" s="26" t="str">
        <x:v>TEN-03</x:v>
      </x:c>
      <x:c r="B7" s="26" t="str">
        <x:v>TEN</x:v>
      </x:c>
      <x:c r="C7" s="26" t="str">
        <x:v>Tenant suspension and closure</x:v>
      </x:c>
      <x:c r="D7" s="26" t="str">
        <x:v>MUST</x:v>
      </x:c>
      <x:c r="E7" s="26" t="str">
        <x:v>CORE</x:v>
      </x:c>
      <x:c r="F7" s="26" t="str">
        <x:v>R02</x:v>
      </x:c>
      <x:c r="G7" s="26" t="str">
        <x:v>R07, R29, R31</x:v>
      </x:c>
      <x:c r="H7" s="26" t="str">
        <x:v>R40</x:v>
      </x:c>
      <x:c r="I7" s="26" t="str">
        <x:v>R24</x:v>
      </x:c>
      <x:c r="J7" s="26" t="str">
        <x:v>Not started</x:v>
      </x:c>
      <x:c r="K7" s="26" t="str"/>
      <x:c r="L7" s="26" t="str">
        <x:v>Critical</x:v>
      </x:c>
    </x:row>
    <x:row r="8" ht="51" customHeight="1">
      <x:c r="A8" s="26" t="str">
        <x:v>TEN-04</x:v>
      </x:c>
      <x:c r="B8" s="26" t="str">
        <x:v>TEN</x:v>
      </x:c>
      <x:c r="C8" s="26" t="str">
        <x:v>Tenant-level quotas</x:v>
      </x:c>
      <x:c r="D8" s="26" t="str">
        <x:v>SHOULD</x:v>
      </x:c>
      <x:c r="E8" s="26" t="str">
        <x:v>ENTERPRISE</x:v>
      </x:c>
      <x:c r="F8" s="26" t="str">
        <x:v>R02</x:v>
      </x:c>
      <x:c r="G8" s="26" t="str">
        <x:v>R07, R29, R31</x:v>
      </x:c>
      <x:c r="H8" s="26" t="str">
        <x:v>R40</x:v>
      </x:c>
      <x:c r="I8" s="26" t="str">
        <x:v>R24</x:v>
      </x:c>
      <x:c r="J8" s="26" t="str">
        <x:v>Not started</x:v>
      </x:c>
      <x:c r="K8" s="26" t="str"/>
      <x:c r="L8" s="26" t="str">
        <x:v>Critical</x:v>
      </x:c>
    </x:row>
    <x:row r="9" ht="51" customHeight="1">
      <x:c r="A9" s="26" t="str">
        <x:v>TEN-05</x:v>
      </x:c>
      <x:c r="B9" s="26" t="str">
        <x:v>TEN</x:v>
      </x:c>
      <x:c r="C9" s="26" t="str">
        <x:v>Independent administration</x:v>
      </x:c>
      <x:c r="D9" s="26" t="str">
        <x:v>MUST</x:v>
      </x:c>
      <x:c r="E9" s="26" t="str">
        <x:v>CORE</x:v>
      </x:c>
      <x:c r="F9" s="26" t="str">
        <x:v>R02</x:v>
      </x:c>
      <x:c r="G9" s="26" t="str">
        <x:v>R07, R29, R31</x:v>
      </x:c>
      <x:c r="H9" s="26" t="str">
        <x:v>R40</x:v>
      </x:c>
      <x:c r="I9" s="26" t="str">
        <x:v>R24</x:v>
      </x:c>
      <x:c r="J9" s="26" t="str">
        <x:v>Not started</x:v>
      </x:c>
      <x:c r="K9" s="26" t="str"/>
      <x:c r="L9" s="26" t="str">
        <x:v>Critical</x:v>
      </x:c>
    </x:row>
    <x:row r="10" ht="51" customHeight="1">
      <x:c r="A10" s="26" t="str">
        <x:v>TEN-06</x:v>
      </x:c>
      <x:c r="B10" s="26" t="str">
        <x:v>TEN</x:v>
      </x:c>
      <x:c r="C10" s="26" t="str">
        <x:v>Central policy baselines</x:v>
      </x:c>
      <x:c r="D10" s="26" t="str">
        <x:v>MUST</x:v>
      </x:c>
      <x:c r="E10" s="26" t="str">
        <x:v>CORE</x:v>
      </x:c>
      <x:c r="F10" s="26" t="str">
        <x:v>R02</x:v>
      </x:c>
      <x:c r="G10" s="26" t="str">
        <x:v>R07, R29, R31</x:v>
      </x:c>
      <x:c r="H10" s="26" t="str">
        <x:v>R40</x:v>
      </x:c>
      <x:c r="I10" s="26" t="str">
        <x:v>R24</x:v>
      </x:c>
      <x:c r="J10" s="26" t="str">
        <x:v>Not started</x:v>
      </x:c>
      <x:c r="K10" s="26" t="str"/>
      <x:c r="L10" s="26" t="str">
        <x:v>Critical</x:v>
      </x:c>
    </x:row>
    <x:row r="11" ht="51" customHeight="1">
      <x:c r="A11" s="26" t="str">
        <x:v>TEN-07</x:v>
      </x:c>
      <x:c r="B11" s="26" t="str">
        <x:v>TEN</x:v>
      </x:c>
      <x:c r="C11" s="26" t="str">
        <x:v>Cross-subsidiary projects</x:v>
      </x:c>
      <x:c r="D11" s="26" t="str">
        <x:v>SHOULD</x:v>
      </x:c>
      <x:c r="E11" s="26" t="str">
        <x:v>ENTERPRISE</x:v>
      </x:c>
      <x:c r="F11" s="26" t="str">
        <x:v>R02</x:v>
      </x:c>
      <x:c r="G11" s="26" t="str">
        <x:v>R07, R29, R31</x:v>
      </x:c>
      <x:c r="H11" s="26" t="str">
        <x:v>R40</x:v>
      </x:c>
      <x:c r="I11" s="26" t="str">
        <x:v>R24</x:v>
      </x:c>
      <x:c r="J11" s="26" t="str">
        <x:v>Not started</x:v>
      </x:c>
      <x:c r="K11" s="26" t="str"/>
      <x:c r="L11" s="26" t="str">
        <x:v>Critical</x:v>
      </x:c>
    </x:row>
    <x:row r="12" ht="51" customHeight="1">
      <x:c r="A12" s="26" t="str">
        <x:v>TEN-08</x:v>
      </x:c>
      <x:c r="B12" s="26" t="str">
        <x:v>TEN</x:v>
      </x:c>
      <x:c r="C12" s="26" t="str">
        <x:v>Tenant context selector</x:v>
      </x:c>
      <x:c r="D12" s="26" t="str">
        <x:v>MUST</x:v>
      </x:c>
      <x:c r="E12" s="26" t="str">
        <x:v>CORE</x:v>
      </x:c>
      <x:c r="F12" s="26" t="str">
        <x:v>R02</x:v>
      </x:c>
      <x:c r="G12" s="26" t="str">
        <x:v>R07, R29, R31</x:v>
      </x:c>
      <x:c r="H12" s="26" t="str">
        <x:v>R40</x:v>
      </x:c>
      <x:c r="I12" s="26" t="str">
        <x:v>R24</x:v>
      </x:c>
      <x:c r="J12" s="26" t="str">
        <x:v>Not started</x:v>
      </x:c>
      <x:c r="K12" s="26" t="str"/>
      <x:c r="L12" s="26" t="str">
        <x:v>Critical</x:v>
      </x:c>
    </x:row>
    <x:row r="13" ht="51" customHeight="1">
      <x:c r="A13" s="26" t="str">
        <x:v>TEN-09</x:v>
      </x:c>
      <x:c r="B13" s="26" t="str">
        <x:v>TEN</x:v>
      </x:c>
      <x:c r="C13" s="26" t="str">
        <x:v>Tenant-specific storage partitions</x:v>
      </x:c>
      <x:c r="D13" s="26" t="str">
        <x:v>MUST</x:v>
      </x:c>
      <x:c r="E13" s="26" t="str">
        <x:v>CORE</x:v>
      </x:c>
      <x:c r="F13" s="26" t="str">
        <x:v>R02</x:v>
      </x:c>
      <x:c r="G13" s="26" t="str">
        <x:v>R07, R29, R31</x:v>
      </x:c>
      <x:c r="H13" s="26" t="str">
        <x:v>R40</x:v>
      </x:c>
      <x:c r="I13" s="26" t="str">
        <x:v>R24</x:v>
      </x:c>
      <x:c r="J13" s="26" t="str">
        <x:v>Not started</x:v>
      </x:c>
      <x:c r="K13" s="26" t="str"/>
      <x:c r="L13" s="26" t="str">
        <x:v>Critical</x:v>
      </x:c>
    </x:row>
    <x:row r="14" ht="51" customHeight="1">
      <x:c r="A14" s="26" t="str">
        <x:v>TEN-10</x:v>
      </x:c>
      <x:c r="B14" s="26" t="str">
        <x:v>TEN</x:v>
      </x:c>
      <x:c r="C14" s="26" t="str">
        <x:v>Tenant export and portability</x:v>
      </x:c>
      <x:c r="D14" s="26" t="str">
        <x:v>SHOULD</x:v>
      </x:c>
      <x:c r="E14" s="26" t="str">
        <x:v>ENTERPRISE</x:v>
      </x:c>
      <x:c r="F14" s="26" t="str">
        <x:v>R02</x:v>
      </x:c>
      <x:c r="G14" s="26" t="str">
        <x:v>R07, R29, R31</x:v>
      </x:c>
      <x:c r="H14" s="26" t="str">
        <x:v>R40</x:v>
      </x:c>
      <x:c r="I14" s="26" t="str">
        <x:v>R24</x:v>
      </x:c>
      <x:c r="J14" s="26" t="str">
        <x:v>Not started</x:v>
      </x:c>
      <x:c r="K14" s="26" t="str"/>
      <x:c r="L14" s="26" t="str">
        <x:v>Critical</x:v>
      </x:c>
    </x:row>
    <x:row r="15" ht="51" customHeight="1">
      <x:c r="A15" s="26" t="str">
        <x:v>TEN-11</x:v>
      </x:c>
      <x:c r="B15" s="26" t="str">
        <x:v>TEN</x:v>
      </x:c>
      <x:c r="C15" s="26" t="str">
        <x:v>Tenant-specific legal identity</x:v>
      </x:c>
      <x:c r="D15" s="26" t="str">
        <x:v>SHOULD</x:v>
      </x:c>
      <x:c r="E15" s="26" t="str">
        <x:v>ENTERPRISE</x:v>
      </x:c>
      <x:c r="F15" s="26" t="str">
        <x:v>R02</x:v>
      </x:c>
      <x:c r="G15" s="26" t="str">
        <x:v>R07, R29, R31</x:v>
      </x:c>
      <x:c r="H15" s="26" t="str">
        <x:v>R40</x:v>
      </x:c>
      <x:c r="I15" s="26" t="str">
        <x:v>R24</x:v>
      </x:c>
      <x:c r="J15" s="26" t="str">
        <x:v>Not started</x:v>
      </x:c>
      <x:c r="K15" s="26" t="str"/>
      <x:c r="L15" s="26" t="str">
        <x:v>Critical</x:v>
      </x:c>
    </x:row>
    <x:row r="16" ht="51" customHeight="1">
      <x:c r="A16" s="26" t="str">
        <x:v>TEN-12</x:v>
      </x:c>
      <x:c r="B16" s="26" t="str">
        <x:v>TEN</x:v>
      </x:c>
      <x:c r="C16" s="26" t="str">
        <x:v>Multi-company organizational reporting</x:v>
      </x:c>
      <x:c r="D16" s="26" t="str">
        <x:v>SHOULD</x:v>
      </x:c>
      <x:c r="E16" s="26" t="str">
        <x:v>ENTERPRISE</x:v>
      </x:c>
      <x:c r="F16" s="26" t="str">
        <x:v>R02</x:v>
      </x:c>
      <x:c r="G16" s="26" t="str">
        <x:v>R07, R29, R31</x:v>
      </x:c>
      <x:c r="H16" s="26" t="str">
        <x:v>R40</x:v>
      </x:c>
      <x:c r="I16" s="26" t="str">
        <x:v>R24</x:v>
      </x:c>
      <x:c r="J16" s="26" t="str">
        <x:v>Not started</x:v>
      </x:c>
      <x:c r="K16" s="26" t="str"/>
      <x:c r="L16" s="26" t="str">
        <x:v>Critical</x:v>
      </x:c>
    </x:row>
    <x:row r="17" ht="51" customHeight="1">
      <x:c r="A17" s="26" t="str">
        <x:v>TEN-13</x:v>
      </x:c>
      <x:c r="B17" s="26" t="str">
        <x:v>TEN</x:v>
      </x:c>
      <x:c r="C17" s="26" t="str">
        <x:v>Tenant residency and region selection</x:v>
      </x:c>
      <x:c r="D17" s="26" t="str">
        <x:v>SHOULD</x:v>
      </x:c>
      <x:c r="E17" s="26" t="str">
        <x:v>ENTERPRISE</x:v>
      </x:c>
      <x:c r="F17" s="26" t="str">
        <x:v>R02</x:v>
      </x:c>
      <x:c r="G17" s="26" t="str">
        <x:v>R07, R29, R31</x:v>
      </x:c>
      <x:c r="H17" s="26" t="str">
        <x:v>R40</x:v>
      </x:c>
      <x:c r="I17" s="26" t="str">
        <x:v>R24</x:v>
      </x:c>
      <x:c r="J17" s="26" t="str">
        <x:v>Not started</x:v>
      </x:c>
      <x:c r="K17" s="26" t="str"/>
      <x:c r="L17" s="26" t="str">
        <x:v>Critical</x:v>
      </x:c>
    </x:row>
    <x:row r="18" ht="51" customHeight="1">
      <x:c r="A18" s="26" t="str">
        <x:v>TEN-14</x:v>
      </x:c>
      <x:c r="B18" s="26" t="str">
        <x:v>TEN</x:v>
      </x:c>
      <x:c r="C18" s="26" t="str">
        <x:v>Corporate reorganizations</x:v>
      </x:c>
      <x:c r="D18" s="26" t="str">
        <x:v>ADVANCED</x:v>
      </x:c>
      <x:c r="E18" s="26" t="str">
        <x:v>EXPANSION</x:v>
      </x:c>
      <x:c r="F18" s="26" t="str">
        <x:v>R02</x:v>
      </x:c>
      <x:c r="G18" s="26" t="str">
        <x:v>R07, R29, R31</x:v>
      </x:c>
      <x:c r="H18" s="26" t="str">
        <x:v>R40</x:v>
      </x:c>
      <x:c r="I18" s="26" t="str">
        <x:v>R24</x:v>
      </x:c>
      <x:c r="J18" s="26" t="str">
        <x:v>Not started</x:v>
      </x:c>
      <x:c r="K18" s="26" t="str"/>
      <x:c r="L18" s="26" t="str">
        <x:v>Critical</x:v>
      </x:c>
    </x:row>
    <x:row r="19" ht="51" customHeight="1">
      <x:c r="A19" s="26" t="str">
        <x:v>IAM-01</x:v>
      </x:c>
      <x:c r="B19" s="26" t="str">
        <x:v>IAM</x:v>
      </x:c>
      <x:c r="C19" s="26" t="str">
        <x:v>Global identities with tenant memberships</x:v>
      </x:c>
      <x:c r="D19" s="26" t="str">
        <x:v>MUST</x:v>
      </x:c>
      <x:c r="E19" s="26" t="str">
        <x:v>CORE</x:v>
      </x:c>
      <x:c r="F19" s="26" t="str">
        <x:v>R21</x:v>
      </x:c>
      <x:c r="G19" s="26" t="str">
        <x:v>R29, R31, R30</x:v>
      </x:c>
      <x:c r="H19" s="26" t="str">
        <x:v>R40</x:v>
      </x:c>
      <x:c r="I19" s="26" t="str">
        <x:v>R24</x:v>
      </x:c>
      <x:c r="J19" s="26" t="str">
        <x:v>Not started</x:v>
      </x:c>
      <x:c r="K19" s="26" t="str"/>
      <x:c r="L19" s="26" t="str">
        <x:v>Critical</x:v>
      </x:c>
    </x:row>
    <x:row r="20" ht="51" customHeight="1">
      <x:c r="A20" s="26" t="str">
        <x:v>IAM-02</x:v>
      </x:c>
      <x:c r="B20" s="26" t="str">
        <x:v>IAM</x:v>
      </x:c>
      <x:c r="C20" s="26" t="str">
        <x:v>Subsidiary-defined custom roles</x:v>
      </x:c>
      <x:c r="D20" s="26" t="str">
        <x:v>MUST</x:v>
      </x:c>
      <x:c r="E20" s="26" t="str">
        <x:v>CORE</x:v>
      </x:c>
      <x:c r="F20" s="26" t="str">
        <x:v>R21</x:v>
      </x:c>
      <x:c r="G20" s="26" t="str">
        <x:v>R29, R31, R30</x:v>
      </x:c>
      <x:c r="H20" s="26" t="str">
        <x:v>R40</x:v>
      </x:c>
      <x:c r="I20" s="26" t="str">
        <x:v>R24</x:v>
      </x:c>
      <x:c r="J20" s="26" t="str">
        <x:v>Not started</x:v>
      </x:c>
      <x:c r="K20" s="26" t="str"/>
      <x:c r="L20" s="26" t="str">
        <x:v>Critical</x:v>
      </x:c>
    </x:row>
    <x:row r="21" ht="51" customHeight="1">
      <x:c r="A21" s="26" t="str">
        <x:v>IAM-03</x:v>
      </x:c>
      <x:c r="B21" s="26" t="str">
        <x:v>IAM</x:v>
      </x:c>
      <x:c r="C21" s="26" t="str">
        <x:v>Role hierarchies and constraints</x:v>
      </x:c>
      <x:c r="D21" s="26" t="str">
        <x:v>SHOULD</x:v>
      </x:c>
      <x:c r="E21" s="26" t="str">
        <x:v>ENTERPRISE</x:v>
      </x:c>
      <x:c r="F21" s="26" t="str">
        <x:v>R21</x:v>
      </x:c>
      <x:c r="G21" s="26" t="str">
        <x:v>R29, R31, R30</x:v>
      </x:c>
      <x:c r="H21" s="26" t="str">
        <x:v>R40</x:v>
      </x:c>
      <x:c r="I21" s="26" t="str">
        <x:v>R24</x:v>
      </x:c>
      <x:c r="J21" s="26" t="str">
        <x:v>Not started</x:v>
      </x:c>
      <x:c r="K21" s="26" t="str"/>
      <x:c r="L21" s="26" t="str">
        <x:v>Critical</x:v>
      </x:c>
    </x:row>
    <x:row r="22" ht="51" customHeight="1">
      <x:c r="A22" s="26" t="str">
        <x:v>IAM-04</x:v>
      </x:c>
      <x:c r="B22" s="26" t="str">
        <x:v>IAM</x:v>
      </x:c>
      <x:c r="C22" s="26" t="str">
        <x:v>Department and project groups</x:v>
      </x:c>
      <x:c r="D22" s="26" t="str">
        <x:v>MUST</x:v>
      </x:c>
      <x:c r="E22" s="26" t="str">
        <x:v>CORE</x:v>
      </x:c>
      <x:c r="F22" s="26" t="str">
        <x:v>R21</x:v>
      </x:c>
      <x:c r="G22" s="26" t="str">
        <x:v>R29, R31, R30</x:v>
      </x:c>
      <x:c r="H22" s="26" t="str">
        <x:v>R40</x:v>
      </x:c>
      <x:c r="I22" s="26" t="str">
        <x:v>R24</x:v>
      </x:c>
      <x:c r="J22" s="26" t="str">
        <x:v>Not started</x:v>
      </x:c>
      <x:c r="K22" s="26" t="str"/>
      <x:c r="L22" s="26" t="str">
        <x:v>Critical</x:v>
      </x:c>
    </x:row>
    <x:row r="23" ht="51" customHeight="1">
      <x:c r="A23" s="26" t="str">
        <x:v>IAM-05</x:v>
      </x:c>
      <x:c r="B23" s="26" t="str">
        <x:v>IAM</x:v>
      </x:c>
      <x:c r="C23" s="26" t="str">
        <x:v>Document-level ACLs</x:v>
      </x:c>
      <x:c r="D23" s="26" t="str">
        <x:v>MUST</x:v>
      </x:c>
      <x:c r="E23" s="26" t="str">
        <x:v>CORE</x:v>
      </x:c>
      <x:c r="F23" s="26" t="str">
        <x:v>R21</x:v>
      </x:c>
      <x:c r="G23" s="26" t="str">
        <x:v>R29, R31, R30</x:v>
      </x:c>
      <x:c r="H23" s="26" t="str">
        <x:v>R40</x:v>
      </x:c>
      <x:c r="I23" s="26" t="str">
        <x:v>R24</x:v>
      </x:c>
      <x:c r="J23" s="26" t="str">
        <x:v>Not started</x:v>
      </x:c>
      <x:c r="K23" s="26" t="str"/>
      <x:c r="L23" s="26" t="str">
        <x:v>Critical</x:v>
      </x:c>
    </x:row>
    <x:row r="24" ht="51" customHeight="1">
      <x:c r="A24" s="26" t="str">
        <x:v>IAM-06</x:v>
      </x:c>
      <x:c r="B24" s="26" t="str">
        <x:v>IAM</x:v>
      </x:c>
      <x:c r="C24" s="26" t="str">
        <x:v>Attribute-based rules</x:v>
      </x:c>
      <x:c r="D24" s="26" t="str">
        <x:v>SHOULD</x:v>
      </x:c>
      <x:c r="E24" s="26" t="str">
        <x:v>ENTERPRISE</x:v>
      </x:c>
      <x:c r="F24" s="26" t="str">
        <x:v>R21</x:v>
      </x:c>
      <x:c r="G24" s="26" t="str">
        <x:v>R29, R31, R30</x:v>
      </x:c>
      <x:c r="H24" s="26" t="str">
        <x:v>R40</x:v>
      </x:c>
      <x:c r="I24" s="26" t="str">
        <x:v>R24</x:v>
      </x:c>
      <x:c r="J24" s="26" t="str">
        <x:v>Not started</x:v>
      </x:c>
      <x:c r="K24" s="26" t="str"/>
      <x:c r="L24" s="26" t="str">
        <x:v>Critical</x:v>
      </x:c>
    </x:row>
    <x:row r="25" ht="51" customHeight="1">
      <x:c r="A25" s="26" t="str">
        <x:v>IAM-07</x:v>
      </x:c>
      <x:c r="B25" s="26" t="str">
        <x:v>IAM</x:v>
      </x:c>
      <x:c r="C25" s="26" t="str">
        <x:v>Folder permission inheritance</x:v>
      </x:c>
      <x:c r="D25" s="26" t="str">
        <x:v>MUST</x:v>
      </x:c>
      <x:c r="E25" s="26" t="str">
        <x:v>CORE</x:v>
      </x:c>
      <x:c r="F25" s="26" t="str">
        <x:v>R21</x:v>
      </x:c>
      <x:c r="G25" s="26" t="str">
        <x:v>R29, R31, R30</x:v>
      </x:c>
      <x:c r="H25" s="26" t="str">
        <x:v>R40</x:v>
      </x:c>
      <x:c r="I25" s="26" t="str">
        <x:v>R24</x:v>
      </x:c>
      <x:c r="J25" s="26" t="str">
        <x:v>Not started</x:v>
      </x:c>
      <x:c r="K25" s="26" t="str"/>
      <x:c r="L25" s="26" t="str">
        <x:v>Critical</x:v>
      </x:c>
    </x:row>
    <x:row r="26" ht="51" customHeight="1">
      <x:c r="A26" s="26" t="str">
        <x:v>IAM-08</x:v>
      </x:c>
      <x:c r="B26" s="26" t="str">
        <x:v>IAM</x:v>
      </x:c>
      <x:c r="C26" s="26" t="str">
        <x:v>Policy simulator</x:v>
      </x:c>
      <x:c r="D26" s="26" t="str">
        <x:v>SHOULD</x:v>
      </x:c>
      <x:c r="E26" s="26" t="str">
        <x:v>ENTERPRISE</x:v>
      </x:c>
      <x:c r="F26" s="26" t="str">
        <x:v>R21</x:v>
      </x:c>
      <x:c r="G26" s="26" t="str">
        <x:v>R29, R31, R30</x:v>
      </x:c>
      <x:c r="H26" s="26" t="str">
        <x:v>R40</x:v>
      </x:c>
      <x:c r="I26" s="26" t="str">
        <x:v>R24</x:v>
      </x:c>
      <x:c r="J26" s="26" t="str">
        <x:v>Not started</x:v>
      </x:c>
      <x:c r="K26" s="26" t="str"/>
      <x:c r="L26" s="26" t="str">
        <x:v>Critical</x:v>
      </x:c>
    </x:row>
    <x:row r="27" ht="51" customHeight="1">
      <x:c r="A27" s="26" t="str">
        <x:v>IAM-09</x:v>
      </x:c>
      <x:c r="B27" s="26" t="str">
        <x:v>IAM</x:v>
      </x:c>
      <x:c r="C27" s="26" t="str">
        <x:v>Access request and approval</x:v>
      </x:c>
      <x:c r="D27" s="26" t="str">
        <x:v>SHOULD</x:v>
      </x:c>
      <x:c r="E27" s="26" t="str">
        <x:v>ENTERPRISE</x:v>
      </x:c>
      <x:c r="F27" s="26" t="str">
        <x:v>R21</x:v>
      </x:c>
      <x:c r="G27" s="26" t="str">
        <x:v>R29, R31, R30</x:v>
      </x:c>
      <x:c r="H27" s="26" t="str">
        <x:v>R40</x:v>
      </x:c>
      <x:c r="I27" s="26" t="str">
        <x:v>R24</x:v>
      </x:c>
      <x:c r="J27" s="26" t="str">
        <x:v>Not started</x:v>
      </x:c>
      <x:c r="K27" s="26" t="str"/>
      <x:c r="L27" s="26" t="str">
        <x:v>Critical</x:v>
      </x:c>
    </x:row>
    <x:row r="28" ht="51" customHeight="1">
      <x:c r="A28" s="26" t="str">
        <x:v>IAM-10</x:v>
      </x:c>
      <x:c r="B28" s="26" t="str">
        <x:v>IAM</x:v>
      </x:c>
      <x:c r="C28" s="26" t="str">
        <x:v>Time-limited and conditional permissions</x:v>
      </x:c>
      <x:c r="D28" s="26" t="str">
        <x:v>MUST</x:v>
      </x:c>
      <x:c r="E28" s="26" t="str">
        <x:v>CORE</x:v>
      </x:c>
      <x:c r="F28" s="26" t="str">
        <x:v>R21</x:v>
      </x:c>
      <x:c r="G28" s="26" t="str">
        <x:v>R29, R31, R30</x:v>
      </x:c>
      <x:c r="H28" s="26" t="str">
        <x:v>R40</x:v>
      </x:c>
      <x:c r="I28" s="26" t="str">
        <x:v>R24</x:v>
      </x:c>
      <x:c r="J28" s="26" t="str">
        <x:v>Not started</x:v>
      </x:c>
      <x:c r="K28" s="26" t="str"/>
      <x:c r="L28" s="26" t="str">
        <x:v>Critical</x:v>
      </x:c>
    </x:row>
    <x:row r="29" ht="51" customHeight="1">
      <x:c r="A29" s="26" t="str">
        <x:v>IAM-11</x:v>
      </x:c>
      <x:c r="B29" s="26" t="str">
        <x:v>IAM</x:v>
      </x:c>
      <x:c r="C29" s="26" t="str">
        <x:v>Separation of duties</x:v>
      </x:c>
      <x:c r="D29" s="26" t="str">
        <x:v>MUST</x:v>
      </x:c>
      <x:c r="E29" s="26" t="str">
        <x:v>CORE</x:v>
      </x:c>
      <x:c r="F29" s="26" t="str">
        <x:v>R21</x:v>
      </x:c>
      <x:c r="G29" s="26" t="str">
        <x:v>R29, R31, R30</x:v>
      </x:c>
      <x:c r="H29" s="26" t="str">
        <x:v>R40</x:v>
      </x:c>
      <x:c r="I29" s="26" t="str">
        <x:v>R24</x:v>
      </x:c>
      <x:c r="J29" s="26" t="str">
        <x:v>Not started</x:v>
      </x:c>
      <x:c r="K29" s="26" t="str"/>
      <x:c r="L29" s="26" t="str">
        <x:v>Critical</x:v>
      </x:c>
    </x:row>
    <x:row r="30" ht="51" customHeight="1">
      <x:c r="A30" s="26" t="str">
        <x:v>IAM-12</x:v>
      </x:c>
      <x:c r="B30" s="26" t="str">
        <x:v>IAM</x:v>
      </x:c>
      <x:c r="C30" s="26" t="str">
        <x:v>Delegated administration</x:v>
      </x:c>
      <x:c r="D30" s="26" t="str">
        <x:v>SHOULD</x:v>
      </x:c>
      <x:c r="E30" s="26" t="str">
        <x:v>ENTERPRISE</x:v>
      </x:c>
      <x:c r="F30" s="26" t="str">
        <x:v>R21</x:v>
      </x:c>
      <x:c r="G30" s="26" t="str">
        <x:v>R29, R31, R30</x:v>
      </x:c>
      <x:c r="H30" s="26" t="str">
        <x:v>R40</x:v>
      </x:c>
      <x:c r="I30" s="26" t="str">
        <x:v>R24</x:v>
      </x:c>
      <x:c r="J30" s="26" t="str">
        <x:v>Not started</x:v>
      </x:c>
      <x:c r="K30" s="26" t="str"/>
      <x:c r="L30" s="26" t="str">
        <x:v>Critical</x:v>
      </x:c>
    </x:row>
    <x:row r="31" ht="51" customHeight="1">
      <x:c r="A31" s="26" t="str">
        <x:v>IAM-13</x:v>
      </x:c>
      <x:c r="B31" s="26" t="str">
        <x:v>IAM</x:v>
      </x:c>
      <x:c r="C31" s="26" t="str">
        <x:v>Emergency break-glass</x:v>
      </x:c>
      <x:c r="D31" s="26" t="str">
        <x:v>SHOULD</x:v>
      </x:c>
      <x:c r="E31" s="26" t="str">
        <x:v>ENTERPRISE</x:v>
      </x:c>
      <x:c r="F31" s="26" t="str">
        <x:v>R21</x:v>
      </x:c>
      <x:c r="G31" s="26" t="str">
        <x:v>R29, R31, R30</x:v>
      </x:c>
      <x:c r="H31" s="26" t="str">
        <x:v>R40</x:v>
      </x:c>
      <x:c r="I31" s="26" t="str">
        <x:v>R24</x:v>
      </x:c>
      <x:c r="J31" s="26" t="str">
        <x:v>Not started</x:v>
      </x:c>
      <x:c r="K31" s="26" t="str"/>
      <x:c r="L31" s="26" t="str">
        <x:v>Critical</x:v>
      </x:c>
    </x:row>
    <x:row r="32" ht="51" customHeight="1">
      <x:c r="A32" s="26" t="str">
        <x:v>IAM-14</x:v>
      </x:c>
      <x:c r="B32" s="26" t="str">
        <x:v>IAM</x:v>
      </x:c>
      <x:c r="C32" s="26" t="str">
        <x:v>Service accounts and workloads</x:v>
      </x:c>
      <x:c r="D32" s="26" t="str">
        <x:v>MUST</x:v>
      </x:c>
      <x:c r="E32" s="26" t="str">
        <x:v>CORE</x:v>
      </x:c>
      <x:c r="F32" s="26" t="str">
        <x:v>R21</x:v>
      </x:c>
      <x:c r="G32" s="26" t="str">
        <x:v>R29, R31, R30</x:v>
      </x:c>
      <x:c r="H32" s="26" t="str">
        <x:v>R40</x:v>
      </x:c>
      <x:c r="I32" s="26" t="str">
        <x:v>R24</x:v>
      </x:c>
      <x:c r="J32" s="26" t="str">
        <x:v>Not started</x:v>
      </x:c>
      <x:c r="K32" s="26" t="str"/>
      <x:c r="L32" s="26" t="str">
        <x:v>Critical</x:v>
      </x:c>
    </x:row>
    <x:row r="33" ht="51" customHeight="1">
      <x:c r="A33" s="26" t="str">
        <x:v>IAM-15</x:v>
      </x:c>
      <x:c r="B33" s="26" t="str">
        <x:v>IAM</x:v>
      </x:c>
      <x:c r="C33" s="26" t="str">
        <x:v>Group-wide permission inventory</x:v>
      </x:c>
      <x:c r="D33" s="26" t="str">
        <x:v>SHOULD</x:v>
      </x:c>
      <x:c r="E33" s="26" t="str">
        <x:v>ENTERPRISE</x:v>
      </x:c>
      <x:c r="F33" s="26" t="str">
        <x:v>R21</x:v>
      </x:c>
      <x:c r="G33" s="26" t="str">
        <x:v>R29, R31, R30</x:v>
      </x:c>
      <x:c r="H33" s="26" t="str">
        <x:v>R40</x:v>
      </x:c>
      <x:c r="I33" s="26" t="str">
        <x:v>R24</x:v>
      </x:c>
      <x:c r="J33" s="26" t="str">
        <x:v>Not started</x:v>
      </x:c>
      <x:c r="K33" s="26" t="str"/>
      <x:c r="L33" s="26" t="str">
        <x:v>Critical</x:v>
      </x:c>
    </x:row>
    <x:row r="34" ht="51" customHeight="1">
      <x:c r="A34" s="26" t="str">
        <x:v>IAM-16</x:v>
      </x:c>
      <x:c r="B34" s="26" t="str">
        <x:v>IAM</x:v>
      </x:c>
      <x:c r="C34" s="26" t="str">
        <x:v>Periodic access certification</x:v>
      </x:c>
      <x:c r="D34" s="26" t="str">
        <x:v>SHOULD</x:v>
      </x:c>
      <x:c r="E34" s="26" t="str">
        <x:v>ENTERPRISE</x:v>
      </x:c>
      <x:c r="F34" s="26" t="str">
        <x:v>R21</x:v>
      </x:c>
      <x:c r="G34" s="26" t="str">
        <x:v>R29, R31, R30</x:v>
      </x:c>
      <x:c r="H34" s="26" t="str">
        <x:v>R40</x:v>
      </x:c>
      <x:c r="I34" s="26" t="str">
        <x:v>R24</x:v>
      </x:c>
      <x:c r="J34" s="26" t="str">
        <x:v>Not started</x:v>
      </x:c>
      <x:c r="K34" s="26" t="str"/>
      <x:c r="L34" s="26" t="str">
        <x:v>Critical</x:v>
      </x:c>
    </x:row>
    <x:row r="35" ht="51" customHeight="1">
      <x:c r="A35" s="26" t="str">
        <x:v>IAM-17</x:v>
      </x:c>
      <x:c r="B35" s="26" t="str">
        <x:v>IAM</x:v>
      </x:c>
      <x:c r="C35" s="26" t="str">
        <x:v>Authorization race protection</x:v>
      </x:c>
      <x:c r="D35" s="26" t="str">
        <x:v>MUST</x:v>
      </x:c>
      <x:c r="E35" s="26" t="str">
        <x:v>CORE</x:v>
      </x:c>
      <x:c r="F35" s="26" t="str">
        <x:v>R21</x:v>
      </x:c>
      <x:c r="G35" s="26" t="str">
        <x:v>R29, R31, R30</x:v>
      </x:c>
      <x:c r="H35" s="26" t="str">
        <x:v>R40</x:v>
      </x:c>
      <x:c r="I35" s="26" t="str">
        <x:v>R24</x:v>
      </x:c>
      <x:c r="J35" s="26" t="str">
        <x:v>Not started</x:v>
      </x:c>
      <x:c r="K35" s="26" t="str"/>
      <x:c r="L35" s="26" t="str">
        <x:v>Critical</x:v>
      </x:c>
    </x:row>
    <x:row r="36" ht="51" customHeight="1">
      <x:c r="A36" s="26" t="str">
        <x:v>AUT-01</x:v>
      </x:c>
      <x:c r="B36" s="26" t="str">
        <x:v>AUT</x:v>
      </x:c>
      <x:c r="C36" s="26" t="str">
        <x:v>Enterprise SSO</x:v>
      </x:c>
      <x:c r="D36" s="26" t="str">
        <x:v>MUST</x:v>
      </x:c>
      <x:c r="E36" s="26" t="str">
        <x:v>CORE</x:v>
      </x:c>
      <x:c r="F36" s="26" t="str">
        <x:v>R21</x:v>
      </x:c>
      <x:c r="G36" s="26" t="str">
        <x:v>R36, R37, R29</x:v>
      </x:c>
      <x:c r="H36" s="26" t="str">
        <x:v>R40</x:v>
      </x:c>
      <x:c r="I36" s="26" t="str">
        <x:v>R24</x:v>
      </x:c>
      <x:c r="J36" s="26" t="str">
        <x:v>Not started</x:v>
      </x:c>
      <x:c r="K36" s="26" t="str"/>
      <x:c r="L36" s="26" t="str">
        <x:v>Critical</x:v>
      </x:c>
    </x:row>
    <x:row r="37" ht="51" customHeight="1">
      <x:c r="A37" s="26" t="str">
        <x:v>AUT-02</x:v>
      </x:c>
      <x:c r="B37" s="26" t="str">
        <x:v>AUT</x:v>
      </x:c>
      <x:c r="C37" s="26" t="str">
        <x:v>Passkeys and MFA</x:v>
      </x:c>
      <x:c r="D37" s="26" t="str">
        <x:v>MUST</x:v>
      </x:c>
      <x:c r="E37" s="26" t="str">
        <x:v>CORE</x:v>
      </x:c>
      <x:c r="F37" s="26" t="str">
        <x:v>R21</x:v>
      </x:c>
      <x:c r="G37" s="26" t="str">
        <x:v>R36, R37, R29</x:v>
      </x:c>
      <x:c r="H37" s="26" t="str">
        <x:v>R40</x:v>
      </x:c>
      <x:c r="I37" s="26" t="str">
        <x:v>R24</x:v>
      </x:c>
      <x:c r="J37" s="26" t="str">
        <x:v>Not started</x:v>
      </x:c>
      <x:c r="K37" s="26" t="str"/>
      <x:c r="L37" s="26" t="str">
        <x:v>Critical</x:v>
      </x:c>
    </x:row>
    <x:row r="38" ht="51" customHeight="1">
      <x:c r="A38" s="26" t="str">
        <x:v>AUT-03</x:v>
      </x:c>
      <x:c r="B38" s="26" t="str">
        <x:v>AUT</x:v>
      </x:c>
      <x:c r="C38" s="26" t="str">
        <x:v>Local account fallback</x:v>
      </x:c>
      <x:c r="D38" s="26" t="str">
        <x:v>SHOULD</x:v>
      </x:c>
      <x:c r="E38" s="26" t="str">
        <x:v>ENTERPRISE</x:v>
      </x:c>
      <x:c r="F38" s="26" t="str">
        <x:v>R21</x:v>
      </x:c>
      <x:c r="G38" s="26" t="str">
        <x:v>R36, R37, R29</x:v>
      </x:c>
      <x:c r="H38" s="26" t="str">
        <x:v>R40</x:v>
      </x:c>
      <x:c r="I38" s="26" t="str">
        <x:v>R24</x:v>
      </x:c>
      <x:c r="J38" s="26" t="str">
        <x:v>Not started</x:v>
      </x:c>
      <x:c r="K38" s="26" t="str"/>
      <x:c r="L38" s="26" t="str">
        <x:v>Critical</x:v>
      </x:c>
    </x:row>
    <x:row r="39" ht="51" customHeight="1">
      <x:c r="A39" s="26" t="str">
        <x:v>AUT-04</x:v>
      </x:c>
      <x:c r="B39" s="26" t="str">
        <x:v>AUT</x:v>
      </x:c>
      <x:c r="C39" s="26" t="str">
        <x:v>Lifecycle synchronization</x:v>
      </x:c>
      <x:c r="D39" s="26" t="str">
        <x:v>SHOULD</x:v>
      </x:c>
      <x:c r="E39" s="26" t="str">
        <x:v>ENTERPRISE</x:v>
      </x:c>
      <x:c r="F39" s="26" t="str">
        <x:v>R21</x:v>
      </x:c>
      <x:c r="G39" s="26" t="str">
        <x:v>R36, R37, R29</x:v>
      </x:c>
      <x:c r="H39" s="26" t="str">
        <x:v>R40</x:v>
      </x:c>
      <x:c r="I39" s="26" t="str">
        <x:v>R24</x:v>
      </x:c>
      <x:c r="J39" s="26" t="str">
        <x:v>Not started</x:v>
      </x:c>
      <x:c r="K39" s="26" t="str"/>
      <x:c r="L39" s="26" t="str">
        <x:v>Critical</x:v>
      </x:c>
    </x:row>
    <x:row r="40" ht="51" customHeight="1">
      <x:c r="A40" s="26" t="str">
        <x:v>AUT-05</x:v>
      </x:c>
      <x:c r="B40" s="26" t="str">
        <x:v>AUT</x:v>
      </x:c>
      <x:c r="C40" s="26" t="str">
        <x:v>Sessions and refresh token controls</x:v>
      </x:c>
      <x:c r="D40" s="26" t="str">
        <x:v>MUST</x:v>
      </x:c>
      <x:c r="E40" s="26" t="str">
        <x:v>CORE</x:v>
      </x:c>
      <x:c r="F40" s="26" t="str">
        <x:v>R21</x:v>
      </x:c>
      <x:c r="G40" s="26" t="str">
        <x:v>R36, R37, R29</x:v>
      </x:c>
      <x:c r="H40" s="26" t="str">
        <x:v>R40</x:v>
      </x:c>
      <x:c r="I40" s="26" t="str">
        <x:v>R24</x:v>
      </x:c>
      <x:c r="J40" s="26" t="str">
        <x:v>Not started</x:v>
      </x:c>
      <x:c r="K40" s="26" t="str"/>
      <x:c r="L40" s="26" t="str">
        <x:v>Critical</x:v>
      </x:c>
    </x:row>
    <x:row r="41" ht="51" customHeight="1">
      <x:c r="A41" s="26" t="str">
        <x:v>AUT-06</x:v>
      </x:c>
      <x:c r="B41" s="26" t="str">
        <x:v>AUT</x:v>
      </x:c>
      <x:c r="C41" s="26" t="str">
        <x:v>Trusted device policy</x:v>
      </x:c>
      <x:c r="D41" s="26" t="str">
        <x:v>SHOULD</x:v>
      </x:c>
      <x:c r="E41" s="26" t="str">
        <x:v>ENTERPRISE</x:v>
      </x:c>
      <x:c r="F41" s="26" t="str">
        <x:v>R21</x:v>
      </x:c>
      <x:c r="G41" s="26" t="str">
        <x:v>R36, R37, R29</x:v>
      </x:c>
      <x:c r="H41" s="26" t="str">
        <x:v>R40</x:v>
      </x:c>
      <x:c r="I41" s="26" t="str">
        <x:v>R24</x:v>
      </x:c>
      <x:c r="J41" s="26" t="str">
        <x:v>Not started</x:v>
      </x:c>
      <x:c r="K41" s="26" t="str"/>
      <x:c r="L41" s="26" t="str">
        <x:v>Critical</x:v>
      </x:c>
    </x:row>
    <x:row r="42" ht="51" customHeight="1">
      <x:c r="A42" s="26" t="str">
        <x:v>AUT-07</x:v>
      </x:c>
      <x:c r="B42" s="26" t="str">
        <x:v>AUT</x:v>
      </x:c>
      <x:c r="C42" s="26" t="str">
        <x:v>Session inventory</x:v>
      </x:c>
      <x:c r="D42" s="26" t="str">
        <x:v>MUST</x:v>
      </x:c>
      <x:c r="E42" s="26" t="str">
        <x:v>CORE</x:v>
      </x:c>
      <x:c r="F42" s="26" t="str">
        <x:v>R21</x:v>
      </x:c>
      <x:c r="G42" s="26" t="str">
        <x:v>R36, R37, R29</x:v>
      </x:c>
      <x:c r="H42" s="26" t="str">
        <x:v>R40</x:v>
      </x:c>
      <x:c r="I42" s="26" t="str">
        <x:v>R24</x:v>
      </x:c>
      <x:c r="J42" s="26" t="str">
        <x:v>Not started</x:v>
      </x:c>
      <x:c r="K42" s="26" t="str"/>
      <x:c r="L42" s="26" t="str">
        <x:v>Critical</x:v>
      </x:c>
    </x:row>
    <x:row r="43" ht="51" customHeight="1">
      <x:c r="A43" s="26" t="str">
        <x:v>AUT-08</x:v>
      </x:c>
      <x:c r="B43" s="26" t="str">
        <x:v>AUT</x:v>
      </x:c>
      <x:c r="C43" s="26" t="str">
        <x:v>Adaptive authentication</x:v>
      </x:c>
      <x:c r="D43" s="26" t="str">
        <x:v>SHOULD</x:v>
      </x:c>
      <x:c r="E43" s="26" t="str">
        <x:v>ENTERPRISE</x:v>
      </x:c>
      <x:c r="F43" s="26" t="str">
        <x:v>R21</x:v>
      </x:c>
      <x:c r="G43" s="26" t="str">
        <x:v>R36, R37, R29</x:v>
      </x:c>
      <x:c r="H43" s="26" t="str">
        <x:v>R40</x:v>
      </x:c>
      <x:c r="I43" s="26" t="str">
        <x:v>R24</x:v>
      </x:c>
      <x:c r="J43" s="26" t="str">
        <x:v>Not started</x:v>
      </x:c>
      <x:c r="K43" s="26" t="str"/>
      <x:c r="L43" s="26" t="str">
        <x:v>Critical</x:v>
      </x:c>
    </x:row>
    <x:row r="44" ht="51" customHeight="1">
      <x:c r="A44" s="26" t="str">
        <x:v>AUT-09</x:v>
      </x:c>
      <x:c r="B44" s="26" t="str">
        <x:v>AUT</x:v>
      </x:c>
      <x:c r="C44" s="26" t="str">
        <x:v>Privileged access controls</x:v>
      </x:c>
      <x:c r="D44" s="26" t="str">
        <x:v>SHOULD</x:v>
      </x:c>
      <x:c r="E44" s="26" t="str">
        <x:v>ENTERPRISE</x:v>
      </x:c>
      <x:c r="F44" s="26" t="str">
        <x:v>R21</x:v>
      </x:c>
      <x:c r="G44" s="26" t="str">
        <x:v>R36, R37, R29</x:v>
      </x:c>
      <x:c r="H44" s="26" t="str">
        <x:v>R40</x:v>
      </x:c>
      <x:c r="I44" s="26" t="str">
        <x:v>R24</x:v>
      </x:c>
      <x:c r="J44" s="26" t="str">
        <x:v>Not started</x:v>
      </x:c>
      <x:c r="K44" s="26" t="str"/>
      <x:c r="L44" s="26" t="str">
        <x:v>Critical</x:v>
      </x:c>
    </x:row>
    <x:row r="45" ht="51" customHeight="1">
      <x:c r="A45" s="26" t="str">
        <x:v>AUT-10</x:v>
      </x:c>
      <x:c r="B45" s="26" t="str">
        <x:v>AUT</x:v>
      </x:c>
      <x:c r="C45" s="26" t="str">
        <x:v>Account takeover defenses</x:v>
      </x:c>
      <x:c r="D45" s="26" t="str">
        <x:v>MUST</x:v>
      </x:c>
      <x:c r="E45" s="26" t="str">
        <x:v>CORE</x:v>
      </x:c>
      <x:c r="F45" s="26" t="str">
        <x:v>R21</x:v>
      </x:c>
      <x:c r="G45" s="26" t="str">
        <x:v>R36, R37, R29</x:v>
      </x:c>
      <x:c r="H45" s="26" t="str">
        <x:v>R40</x:v>
      </x:c>
      <x:c r="I45" s="26" t="str">
        <x:v>R24</x:v>
      </x:c>
      <x:c r="J45" s="26" t="str">
        <x:v>Not started</x:v>
      </x:c>
      <x:c r="K45" s="26" t="str"/>
      <x:c r="L45" s="26" t="str">
        <x:v>Critical</x:v>
      </x:c>
    </x:row>
    <x:row r="46" ht="51" customHeight="1">
      <x:c r="A46" s="26" t="str">
        <x:v>AUT-11</x:v>
      </x:c>
      <x:c r="B46" s="26" t="str">
        <x:v>AUT</x:v>
      </x:c>
      <x:c r="C46" s="26" t="str">
        <x:v>Trusted device enrollment for E2EE</x:v>
      </x:c>
      <x:c r="D46" s="26" t="str">
        <x:v>MUST</x:v>
      </x:c>
      <x:c r="E46" s="26" t="str">
        <x:v>CORE</x:v>
      </x:c>
      <x:c r="F46" s="26" t="str">
        <x:v>R21</x:v>
      </x:c>
      <x:c r="G46" s="26" t="str">
        <x:v>R36, R37, R29</x:v>
      </x:c>
      <x:c r="H46" s="26" t="str">
        <x:v>R40</x:v>
      </x:c>
      <x:c r="I46" s="26" t="str">
        <x:v>R24</x:v>
      </x:c>
      <x:c r="J46" s="26" t="str">
        <x:v>Not started</x:v>
      </x:c>
      <x:c r="K46" s="26" t="str"/>
      <x:c r="L46" s="26" t="str">
        <x:v>Critical</x:v>
      </x:c>
    </x:row>
    <x:row r="47" ht="51" customHeight="1">
      <x:c r="A47" s="26" t="str">
        <x:v>AUT-12</x:v>
      </x:c>
      <x:c r="B47" s="26" t="str">
        <x:v>AUT</x:v>
      </x:c>
      <x:c r="C47" s="26" t="str">
        <x:v>Credential and session recovery</x:v>
      </x:c>
      <x:c r="D47" s="26" t="str">
        <x:v>MUST</x:v>
      </x:c>
      <x:c r="E47" s="26" t="str">
        <x:v>CORE</x:v>
      </x:c>
      <x:c r="F47" s="26" t="str">
        <x:v>R21</x:v>
      </x:c>
      <x:c r="G47" s="26" t="str">
        <x:v>R36, R37, R29</x:v>
      </x:c>
      <x:c r="H47" s="26" t="str">
        <x:v>R40</x:v>
      </x:c>
      <x:c r="I47" s="26" t="str">
        <x:v>R24</x:v>
      </x:c>
      <x:c r="J47" s="26" t="str">
        <x:v>Not started</x:v>
      </x:c>
      <x:c r="K47" s="26" t="str"/>
      <x:c r="L47" s="26" t="str">
        <x:v>Critical</x:v>
      </x:c>
    </x:row>
    <x:row r="48" ht="51" customHeight="1">
      <x:c r="A48" s="26" t="str">
        <x:v>AUT-13</x:v>
      </x:c>
      <x:c r="B48" s="26" t="str">
        <x:v>AUT</x:v>
      </x:c>
      <x:c r="C48" s="26" t="str">
        <x:v>Guest identity federation</x:v>
      </x:c>
      <x:c r="D48" s="26" t="str">
        <x:v>SHOULD</x:v>
      </x:c>
      <x:c r="E48" s="26" t="str">
        <x:v>ENTERPRISE</x:v>
      </x:c>
      <x:c r="F48" s="26" t="str">
        <x:v>R21</x:v>
      </x:c>
      <x:c r="G48" s="26" t="str">
        <x:v>R36, R37, R29</x:v>
      </x:c>
      <x:c r="H48" s="26" t="str">
        <x:v>R40</x:v>
      </x:c>
      <x:c r="I48" s="26" t="str">
        <x:v>R24</x:v>
      </x:c>
      <x:c r="J48" s="26" t="str">
        <x:v>Not started</x:v>
      </x:c>
      <x:c r="K48" s="26" t="str"/>
      <x:c r="L48" s="26" t="str">
        <x:v>Critical</x:v>
      </x:c>
    </x:row>
    <x:row r="49" ht="51" customHeight="1">
      <x:c r="A49" s="26" t="str">
        <x:v>DOC-01</x:v>
      </x:c>
      <x:c r="B49" s="26" t="str">
        <x:v>DOC</x:v>
      </x:c>
      <x:c r="C49" s="26" t="str">
        <x:v>Upload and download</x:v>
      </x:c>
      <x:c r="D49" s="26" t="str">
        <x:v>MUST</x:v>
      </x:c>
      <x:c r="E49" s="26" t="str">
        <x:v>CORE</x:v>
      </x:c>
      <x:c r="F49" s="26" t="str">
        <x:v>R03</x:v>
      </x:c>
      <x:c r="G49" s="26" t="str">
        <x:v>R32, R29, R31</x:v>
      </x:c>
      <x:c r="H49" s="26" t="str">
        <x:v>R40</x:v>
      </x:c>
      <x:c r="I49" s="26" t="str">
        <x:v>R24</x:v>
      </x:c>
      <x:c r="J49" s="26" t="str">
        <x:v>Not started</x:v>
      </x:c>
      <x:c r="K49" s="26" t="str"/>
      <x:c r="L49" s="26" t="str">
        <x:v>Critical</x:v>
      </x:c>
    </x:row>
    <x:row r="50" ht="51" customHeight="1">
      <x:c r="A50" s="26" t="str">
        <x:v>DOC-02</x:v>
      </x:c>
      <x:c r="B50" s="26" t="str">
        <x:v>DOC</x:v>
      </x:c>
      <x:c r="C50" s="26" t="str">
        <x:v>Large and resumable uploads</x:v>
      </x:c>
      <x:c r="D50" s="26" t="str">
        <x:v>SHOULD</x:v>
      </x:c>
      <x:c r="E50" s="26" t="str">
        <x:v>ENTERPRISE</x:v>
      </x:c>
      <x:c r="F50" s="26" t="str">
        <x:v>R03</x:v>
      </x:c>
      <x:c r="G50" s="26" t="str">
        <x:v>R32, R29, R31</x:v>
      </x:c>
      <x:c r="H50" s="26" t="str">
        <x:v>R40</x:v>
      </x:c>
      <x:c r="I50" s="26" t="str">
        <x:v>R24</x:v>
      </x:c>
      <x:c r="J50" s="26" t="str">
        <x:v>Not started</x:v>
      </x:c>
      <x:c r="K50" s="26" t="str"/>
      <x:c r="L50" s="26" t="str">
        <x:v>Critical</x:v>
      </x:c>
    </x:row>
    <x:row r="51" ht="51" customHeight="1">
      <x:c r="A51" s="26" t="str">
        <x:v>DOC-03</x:v>
      </x:c>
      <x:c r="B51" s="26" t="str">
        <x:v>DOC</x:v>
      </x:c>
      <x:c r="C51" s="26" t="str">
        <x:v>Common business formats</x:v>
      </x:c>
      <x:c r="D51" s="26" t="str">
        <x:v>MUST</x:v>
      </x:c>
      <x:c r="E51" s="26" t="str">
        <x:v>CORE</x:v>
      </x:c>
      <x:c r="F51" s="26" t="str">
        <x:v>R03</x:v>
      </x:c>
      <x:c r="G51" s="26" t="str">
        <x:v>R32, R29, R31</x:v>
      </x:c>
      <x:c r="H51" s="26" t="str">
        <x:v>R40</x:v>
      </x:c>
      <x:c r="I51" s="26" t="str">
        <x:v>R24</x:v>
      </x:c>
      <x:c r="J51" s="26" t="str">
        <x:v>Not started</x:v>
      </x:c>
      <x:c r="K51" s="26" t="str"/>
      <x:c r="L51" s="26" t="str">
        <x:v>Critical</x:v>
      </x:c>
    </x:row>
    <x:row r="52" ht="51" customHeight="1">
      <x:c r="A52" s="26" t="str">
        <x:v>DOC-04</x:v>
      </x:c>
      <x:c r="B52" s="26" t="str">
        <x:v>DOC</x:v>
      </x:c>
      <x:c r="C52" s="26" t="str">
        <x:v>Folder hierarchy and libraries</x:v>
      </x:c>
      <x:c r="D52" s="26" t="str">
        <x:v>MUST</x:v>
      </x:c>
      <x:c r="E52" s="26" t="str">
        <x:v>CORE</x:v>
      </x:c>
      <x:c r="F52" s="26" t="str">
        <x:v>R03</x:v>
      </x:c>
      <x:c r="G52" s="26" t="str">
        <x:v>R32, R29, R31</x:v>
      </x:c>
      <x:c r="H52" s="26" t="str">
        <x:v>R40</x:v>
      </x:c>
      <x:c r="I52" s="26" t="str">
        <x:v>R24</x:v>
      </x:c>
      <x:c r="J52" s="26" t="str">
        <x:v>Not started</x:v>
      </x:c>
      <x:c r="K52" s="26" t="str"/>
      <x:c r="L52" s="26" t="str">
        <x:v>Critical</x:v>
      </x:c>
    </x:row>
    <x:row r="53" ht="51" customHeight="1">
      <x:c r="A53" s="26" t="str">
        <x:v>DOC-05</x:v>
      </x:c>
      <x:c r="B53" s="26" t="str">
        <x:v>DOC</x:v>
      </x:c>
      <x:c r="C53" s="26" t="str">
        <x:v>Document templates</x:v>
      </x:c>
      <x:c r="D53" s="26" t="str">
        <x:v>SHOULD</x:v>
      </x:c>
      <x:c r="E53" s="26" t="str">
        <x:v>ENTERPRISE</x:v>
      </x:c>
      <x:c r="F53" s="26" t="str">
        <x:v>R03</x:v>
      </x:c>
      <x:c r="G53" s="26" t="str">
        <x:v>R32, R29, R31</x:v>
      </x:c>
      <x:c r="H53" s="26" t="str">
        <x:v>R40</x:v>
      </x:c>
      <x:c r="I53" s="26" t="str">
        <x:v>R24</x:v>
      </x:c>
      <x:c r="J53" s="26" t="str">
        <x:v>Not started</x:v>
      </x:c>
      <x:c r="K53" s="26" t="str"/>
      <x:c r="L53" s="26" t="str">
        <x:v>Critical</x:v>
      </x:c>
    </x:row>
    <x:row r="54" ht="51" customHeight="1">
      <x:c r="A54" s="26" t="str">
        <x:v>DOC-06</x:v>
      </x:c>
      <x:c r="B54" s="26" t="str">
        <x:v>DOC</x:v>
      </x:c>
      <x:c r="C54" s="26" t="str">
        <x:v>Document registration</x:v>
      </x:c>
      <x:c r="D54" s="26" t="str">
        <x:v>MUST</x:v>
      </x:c>
      <x:c r="E54" s="26" t="str">
        <x:v>CORE</x:v>
      </x:c>
      <x:c r="F54" s="26" t="str">
        <x:v>R03</x:v>
      </x:c>
      <x:c r="G54" s="26" t="str">
        <x:v>R32, R29, R31</x:v>
      </x:c>
      <x:c r="H54" s="26" t="str">
        <x:v>R40</x:v>
      </x:c>
      <x:c r="I54" s="26" t="str">
        <x:v>R24</x:v>
      </x:c>
      <x:c r="J54" s="26" t="str">
        <x:v>Not started</x:v>
      </x:c>
      <x:c r="K54" s="26" t="str"/>
      <x:c r="L54" s="26" t="str">
        <x:v>Critical</x:v>
      </x:c>
    </x:row>
    <x:row r="55" ht="51" customHeight="1">
      <x:c r="A55" s="26" t="str">
        <x:v>DOC-07</x:v>
      </x:c>
      <x:c r="B55" s="26" t="str">
        <x:v>DOC</x:v>
      </x:c>
      <x:c r="C55" s="26" t="str">
        <x:v>Batch upload and tagging</x:v>
      </x:c>
      <x:c r="D55" s="26" t="str">
        <x:v>SHOULD</x:v>
      </x:c>
      <x:c r="E55" s="26" t="str">
        <x:v>ENTERPRISE</x:v>
      </x:c>
      <x:c r="F55" s="26" t="str">
        <x:v>R03</x:v>
      </x:c>
      <x:c r="G55" s="26" t="str">
        <x:v>R32, R29, R31</x:v>
      </x:c>
      <x:c r="H55" s="26" t="str">
        <x:v>R40</x:v>
      </x:c>
      <x:c r="I55" s="26" t="str">
        <x:v>R24</x:v>
      </x:c>
      <x:c r="J55" s="26" t="str">
        <x:v>Not started</x:v>
      </x:c>
      <x:c r="K55" s="26" t="str"/>
      <x:c r="L55" s="26" t="str">
        <x:v>Critical</x:v>
      </x:c>
    </x:row>
    <x:row r="56" ht="51" customHeight="1">
      <x:c r="A56" s="26" t="str">
        <x:v>DOC-08</x:v>
      </x:c>
      <x:c r="B56" s="26" t="str">
        <x:v>DOC</x:v>
      </x:c>
      <x:c r="C56" s="26" t="str">
        <x:v>Automated email ingestion</x:v>
      </x:c>
      <x:c r="D56" s="26" t="str">
        <x:v>SHOULD</x:v>
      </x:c>
      <x:c r="E56" s="26" t="str">
        <x:v>ENTERPRISE</x:v>
      </x:c>
      <x:c r="F56" s="26" t="str">
        <x:v>R03</x:v>
      </x:c>
      <x:c r="G56" s="26" t="str">
        <x:v>R32, R29, R31</x:v>
      </x:c>
      <x:c r="H56" s="26" t="str">
        <x:v>R40</x:v>
      </x:c>
      <x:c r="I56" s="26" t="str">
        <x:v>R24</x:v>
      </x:c>
      <x:c r="J56" s="26" t="str">
        <x:v>Not started</x:v>
      </x:c>
      <x:c r="K56" s="26" t="str"/>
      <x:c r="L56" s="26" t="str">
        <x:v>Critical</x:v>
      </x:c>
    </x:row>
    <x:row r="57" ht="51" customHeight="1">
      <x:c r="A57" s="26" t="str">
        <x:v>DOC-09</x:v>
      </x:c>
      <x:c r="B57" s="26" t="str">
        <x:v>DOC</x:v>
      </x:c>
      <x:c r="C57" s="26" t="str">
        <x:v>Scanner and capture integration</x:v>
      </x:c>
      <x:c r="D57" s="26" t="str">
        <x:v>ADVANCED</x:v>
      </x:c>
      <x:c r="E57" s="26" t="str">
        <x:v>EXPANSION</x:v>
      </x:c>
      <x:c r="F57" s="26" t="str">
        <x:v>R03</x:v>
      </x:c>
      <x:c r="G57" s="26" t="str">
        <x:v>R32, R29, R31</x:v>
      </x:c>
      <x:c r="H57" s="26" t="str">
        <x:v>R40</x:v>
      </x:c>
      <x:c r="I57" s="26" t="str">
        <x:v>R24</x:v>
      </x:c>
      <x:c r="J57" s="26" t="str">
        <x:v>Not started</x:v>
      </x:c>
      <x:c r="K57" s="26" t="str"/>
      <x:c r="L57" s="26" t="str">
        <x:v>Critical</x:v>
      </x:c>
    </x:row>
    <x:row r="58" ht="51" customHeight="1">
      <x:c r="A58" s="26" t="str">
        <x:v>DOC-10</x:v>
      </x:c>
      <x:c r="B58" s="26" t="str">
        <x:v>DOC</x:v>
      </x:c>
      <x:c r="C58" s="26" t="str">
        <x:v>Document status lifecycle</x:v>
      </x:c>
      <x:c r="D58" s="26" t="str">
        <x:v>MUST</x:v>
      </x:c>
      <x:c r="E58" s="26" t="str">
        <x:v>CORE</x:v>
      </x:c>
      <x:c r="F58" s="26" t="str">
        <x:v>R03</x:v>
      </x:c>
      <x:c r="G58" s="26" t="str">
        <x:v>R32, R29, R31</x:v>
      </x:c>
      <x:c r="H58" s="26" t="str">
        <x:v>R40</x:v>
      </x:c>
      <x:c r="I58" s="26" t="str">
        <x:v>R24</x:v>
      </x:c>
      <x:c r="J58" s="26" t="str">
        <x:v>Not started</x:v>
      </x:c>
      <x:c r="K58" s="26" t="str"/>
      <x:c r="L58" s="26" t="str">
        <x:v>Critical</x:v>
      </x:c>
    </x:row>
    <x:row r="59" ht="51" customHeight="1">
      <x:c r="A59" s="26" t="str">
        <x:v>DOC-11</x:v>
      </x:c>
      <x:c r="B59" s="26" t="str">
        <x:v>DOC</x:v>
      </x:c>
      <x:c r="C59" s="26" t="str">
        <x:v>Document ownership and custodian</x:v>
      </x:c>
      <x:c r="D59" s="26" t="str">
        <x:v>MUST</x:v>
      </x:c>
      <x:c r="E59" s="26" t="str">
        <x:v>CORE</x:v>
      </x:c>
      <x:c r="F59" s="26" t="str">
        <x:v>R03</x:v>
      </x:c>
      <x:c r="G59" s="26" t="str">
        <x:v>R32, R29, R31</x:v>
      </x:c>
      <x:c r="H59" s="26" t="str">
        <x:v>R40</x:v>
      </x:c>
      <x:c r="I59" s="26" t="str">
        <x:v>R24</x:v>
      </x:c>
      <x:c r="J59" s="26" t="str">
        <x:v>Not started</x:v>
      </x:c>
      <x:c r="K59" s="26" t="str"/>
      <x:c r="L59" s="26" t="str">
        <x:v>Critical</x:v>
      </x:c>
    </x:row>
    <x:row r="60" ht="51" customHeight="1">
      <x:c r="A60" s="26" t="str">
        <x:v>DOC-12</x:v>
      </x:c>
      <x:c r="B60" s="26" t="str">
        <x:v>DOC</x:v>
      </x:c>
      <x:c r="C60" s="26" t="str">
        <x:v>Move, copy and link</x:v>
      </x:c>
      <x:c r="D60" s="26" t="str">
        <x:v>MUST</x:v>
      </x:c>
      <x:c r="E60" s="26" t="str">
        <x:v>CORE</x:v>
      </x:c>
      <x:c r="F60" s="26" t="str">
        <x:v>R03</x:v>
      </x:c>
      <x:c r="G60" s="26" t="str">
        <x:v>R32, R29, R31</x:v>
      </x:c>
      <x:c r="H60" s="26" t="str">
        <x:v>R40</x:v>
      </x:c>
      <x:c r="I60" s="26" t="str">
        <x:v>R24</x:v>
      </x:c>
      <x:c r="J60" s="26" t="str">
        <x:v>Not started</x:v>
      </x:c>
      <x:c r="K60" s="26" t="str"/>
      <x:c r="L60" s="26" t="str">
        <x:v>Critical</x:v>
      </x:c>
    </x:row>
    <x:row r="61" ht="51" customHeight="1">
      <x:c r="A61" s="26" t="str">
        <x:v>DOC-13</x:v>
      </x:c>
      <x:c r="B61" s="26" t="str">
        <x:v>DOC</x:v>
      </x:c>
      <x:c r="C61" s="26" t="str">
        <x:v>Recycle bin and restoration</x:v>
      </x:c>
      <x:c r="D61" s="26" t="str">
        <x:v>MUST</x:v>
      </x:c>
      <x:c r="E61" s="26" t="str">
        <x:v>CORE</x:v>
      </x:c>
      <x:c r="F61" s="26" t="str">
        <x:v>R03</x:v>
      </x:c>
      <x:c r="G61" s="26" t="str">
        <x:v>R32, R29, R31</x:v>
      </x:c>
      <x:c r="H61" s="26" t="str">
        <x:v>R40</x:v>
      </x:c>
      <x:c r="I61" s="26" t="str">
        <x:v>R24</x:v>
      </x:c>
      <x:c r="J61" s="26" t="str">
        <x:v>Not started</x:v>
      </x:c>
      <x:c r="K61" s="26" t="str"/>
      <x:c r="L61" s="26" t="str">
        <x:v>Critical</x:v>
      </x:c>
    </x:row>
    <x:row r="62" ht="51" customHeight="1">
      <x:c r="A62" s="26" t="str">
        <x:v>DOC-14</x:v>
      </x:c>
      <x:c r="B62" s="26" t="str">
        <x:v>DOC</x:v>
      </x:c>
      <x:c r="C62" s="26" t="str">
        <x:v>Duplicates and fingerprinting</x:v>
      </x:c>
      <x:c r="D62" s="26" t="str">
        <x:v>SHOULD</x:v>
      </x:c>
      <x:c r="E62" s="26" t="str">
        <x:v>ENTERPRISE</x:v>
      </x:c>
      <x:c r="F62" s="26" t="str">
        <x:v>R03</x:v>
      </x:c>
      <x:c r="G62" s="26" t="str">
        <x:v>R32, R29, R31</x:v>
      </x:c>
      <x:c r="H62" s="26" t="str">
        <x:v>R40</x:v>
      </x:c>
      <x:c r="I62" s="26" t="str">
        <x:v>R24</x:v>
      </x:c>
      <x:c r="J62" s="26" t="str">
        <x:v>Not started</x:v>
      </x:c>
      <x:c r="K62" s="26" t="str"/>
      <x:c r="L62" s="26" t="str">
        <x:v>Critical</x:v>
      </x:c>
    </x:row>
    <x:row r="63" ht="51" customHeight="1">
      <x:c r="A63" s="26" t="str">
        <x:v>DOC-15</x:v>
      </x:c>
      <x:c r="B63" s="26" t="str">
        <x:v>DOC</x:v>
      </x:c>
      <x:c r="C63" s="26" t="str">
        <x:v>Integrity verification</x:v>
      </x:c>
      <x:c r="D63" s="26" t="str">
        <x:v>MUST</x:v>
      </x:c>
      <x:c r="E63" s="26" t="str">
        <x:v>CORE</x:v>
      </x:c>
      <x:c r="F63" s="26" t="str">
        <x:v>R03</x:v>
      </x:c>
      <x:c r="G63" s="26" t="str">
        <x:v>R32, R29, R31</x:v>
      </x:c>
      <x:c r="H63" s="26" t="str">
        <x:v>R40</x:v>
      </x:c>
      <x:c r="I63" s="26" t="str">
        <x:v>R24</x:v>
      </x:c>
      <x:c r="J63" s="26" t="str">
        <x:v>Not started</x:v>
      </x:c>
      <x:c r="K63" s="26" t="str"/>
      <x:c r="L63" s="26" t="str">
        <x:v>Critical</x:v>
      </x:c>
    </x:row>
    <x:row r="64" ht="51" customHeight="1">
      <x:c r="A64" s="26" t="str">
        <x:v>DOC-16</x:v>
      </x:c>
      <x:c r="B64" s="26" t="str">
        <x:v>DOC</x:v>
      </x:c>
      <x:c r="C64" s="26" t="str">
        <x:v>Metadata-only records</x:v>
      </x:c>
      <x:c r="D64" s="26" t="str">
        <x:v>SHOULD</x:v>
      </x:c>
      <x:c r="E64" s="26" t="str">
        <x:v>ENTERPRISE</x:v>
      </x:c>
      <x:c r="F64" s="26" t="str">
        <x:v>R03</x:v>
      </x:c>
      <x:c r="G64" s="26" t="str">
        <x:v>R32, R29, R31</x:v>
      </x:c>
      <x:c r="H64" s="26" t="str">
        <x:v>R40</x:v>
      </x:c>
      <x:c r="I64" s="26" t="str">
        <x:v>R24</x:v>
      </x:c>
      <x:c r="J64" s="26" t="str">
        <x:v>Not started</x:v>
      </x:c>
      <x:c r="K64" s="26" t="str"/>
      <x:c r="L64" s="26" t="str">
        <x:v>Critical</x:v>
      </x:c>
    </x:row>
    <x:row r="65" ht="51" customHeight="1">
      <x:c r="A65" s="26" t="str">
        <x:v>DOC-17</x:v>
      </x:c>
      <x:c r="B65" s="26" t="str">
        <x:v>DOC</x:v>
      </x:c>
      <x:c r="C65" s="26" t="str">
        <x:v>Document bundles and dossiers</x:v>
      </x:c>
      <x:c r="D65" s="26" t="str">
        <x:v>SHOULD</x:v>
      </x:c>
      <x:c r="E65" s="26" t="str">
        <x:v>ENTERPRISE</x:v>
      </x:c>
      <x:c r="F65" s="26" t="str">
        <x:v>R03</x:v>
      </x:c>
      <x:c r="G65" s="26" t="str">
        <x:v>R32, R29, R31</x:v>
      </x:c>
      <x:c r="H65" s="26" t="str">
        <x:v>R40</x:v>
      </x:c>
      <x:c r="I65" s="26" t="str">
        <x:v>R24</x:v>
      </x:c>
      <x:c r="J65" s="26" t="str">
        <x:v>Not started</x:v>
      </x:c>
      <x:c r="K65" s="26" t="str"/>
      <x:c r="L65" s="26" t="str">
        <x:v>Critical</x:v>
      </x:c>
    </x:row>
    <x:row r="66" ht="51" customHeight="1">
      <x:c r="A66" s="26" t="str">
        <x:v>DOC-18</x:v>
      </x:c>
      <x:c r="B66" s="26" t="str">
        <x:v>DOC</x:v>
      </x:c>
      <x:c r="C66" s="26" t="str">
        <x:v>Controlled document numbering</x:v>
      </x:c>
      <x:c r="D66" s="26" t="str">
        <x:v>SHOULD</x:v>
      </x:c>
      <x:c r="E66" s="26" t="str">
        <x:v>ENTERPRISE</x:v>
      </x:c>
      <x:c r="F66" s="26" t="str">
        <x:v>R03</x:v>
      </x:c>
      <x:c r="G66" s="26" t="str">
        <x:v>R32, R29, R31</x:v>
      </x:c>
      <x:c r="H66" s="26" t="str">
        <x:v>R40</x:v>
      </x:c>
      <x:c r="I66" s="26" t="str">
        <x:v>R24</x:v>
      </x:c>
      <x:c r="J66" s="26" t="str">
        <x:v>Not started</x:v>
      </x:c>
      <x:c r="K66" s="26" t="str"/>
      <x:c r="L66" s="26" t="str">
        <x:v>Critical</x:v>
      </x:c>
    </x:row>
    <x:row r="67" ht="51" customHeight="1">
      <x:c r="A67" s="26" t="str">
        <x:v>DOC-19</x:v>
      </x:c>
      <x:c r="B67" s="26" t="str">
        <x:v>DOC</x:v>
      </x:c>
      <x:c r="C67" s="26" t="str">
        <x:v>File size and type policy</x:v>
      </x:c>
      <x:c r="D67" s="26" t="str">
        <x:v>MUST</x:v>
      </x:c>
      <x:c r="E67" s="26" t="str">
        <x:v>CORE</x:v>
      </x:c>
      <x:c r="F67" s="26" t="str">
        <x:v>R03</x:v>
      </x:c>
      <x:c r="G67" s="26" t="str">
        <x:v>R32, R29, R31</x:v>
      </x:c>
      <x:c r="H67" s="26" t="str">
        <x:v>R40</x:v>
      </x:c>
      <x:c r="I67" s="26" t="str">
        <x:v>R24</x:v>
      </x:c>
      <x:c r="J67" s="26" t="str">
        <x:v>Not started</x:v>
      </x:c>
      <x:c r="K67" s="26" t="str"/>
      <x:c r="L67" s="26" t="str">
        <x:v>Critical</x:v>
      </x:c>
    </x:row>
    <x:row r="68" ht="51" customHeight="1">
      <x:c r="A68" s="26" t="str">
        <x:v>DOC-20</x:v>
      </x:c>
      <x:c r="B68" s="26" t="str">
        <x:v>DOC</x:v>
      </x:c>
      <x:c r="C68" s="26" t="str">
        <x:v>Document expiration and review</x:v>
      </x:c>
      <x:c r="D68" s="26" t="str">
        <x:v>SHOULD</x:v>
      </x:c>
      <x:c r="E68" s="26" t="str">
        <x:v>ENTERPRISE</x:v>
      </x:c>
      <x:c r="F68" s="26" t="str">
        <x:v>R03</x:v>
      </x:c>
      <x:c r="G68" s="26" t="str">
        <x:v>R32, R29, R31</x:v>
      </x:c>
      <x:c r="H68" s="26" t="str">
        <x:v>R40</x:v>
      </x:c>
      <x:c r="I68" s="26" t="str">
        <x:v>R24</x:v>
      </x:c>
      <x:c r="J68" s="26" t="str">
        <x:v>Not started</x:v>
      </x:c>
      <x:c r="K68" s="26" t="str"/>
      <x:c r="L68" s="26" t="str">
        <x:v>Critical</x:v>
      </x:c>
    </x:row>
    <x:row r="69" ht="51" customHeight="1">
      <x:c r="A69" s="26" t="str">
        <x:v>DOC-21</x:v>
      </x:c>
      <x:c r="B69" s="26" t="str">
        <x:v>DOC</x:v>
      </x:c>
      <x:c r="C69" s="26" t="str">
        <x:v>Protected previews</x:v>
      </x:c>
      <x:c r="D69" s="26" t="str">
        <x:v>MUST</x:v>
      </x:c>
      <x:c r="E69" s="26" t="str">
        <x:v>CORE</x:v>
      </x:c>
      <x:c r="F69" s="26" t="str">
        <x:v>R03</x:v>
      </x:c>
      <x:c r="G69" s="26" t="str">
        <x:v>R32, R29, R31</x:v>
      </x:c>
      <x:c r="H69" s="26" t="str">
        <x:v>R40</x:v>
      </x:c>
      <x:c r="I69" s="26" t="str">
        <x:v>R24</x:v>
      </x:c>
      <x:c r="J69" s="26" t="str">
        <x:v>Not started</x:v>
      </x:c>
      <x:c r="K69" s="26" t="str"/>
      <x:c r="L69" s="26" t="str">
        <x:v>Critical</x:v>
      </x:c>
    </x:row>
    <x:row r="70" ht="51" customHeight="1">
      <x:c r="A70" s="26" t="str">
        <x:v>DOC-22</x:v>
      </x:c>
      <x:c r="B70" s="26" t="str">
        <x:v>DOC</x:v>
      </x:c>
      <x:c r="C70" s="26" t="str">
        <x:v>Content redaction</x:v>
      </x:c>
      <x:c r="D70" s="26" t="str">
        <x:v>SHOULD</x:v>
      </x:c>
      <x:c r="E70" s="26" t="str">
        <x:v>ENTERPRISE</x:v>
      </x:c>
      <x:c r="F70" s="26" t="str">
        <x:v>R03</x:v>
      </x:c>
      <x:c r="G70" s="26" t="str">
        <x:v>R32, R29, R31</x:v>
      </x:c>
      <x:c r="H70" s="26" t="str">
        <x:v>R40</x:v>
      </x:c>
      <x:c r="I70" s="26" t="str">
        <x:v>R24</x:v>
      </x:c>
      <x:c r="J70" s="26" t="str">
        <x:v>Not started</x:v>
      </x:c>
      <x:c r="K70" s="26" t="str"/>
      <x:c r="L70" s="26" t="str">
        <x:v>Critical</x:v>
      </x:c>
    </x:row>
    <x:row r="71" ht="51" customHeight="1">
      <x:c r="A71" s="26" t="str">
        <x:v>MET-01</x:v>
      </x:c>
      <x:c r="B71" s="26" t="str">
        <x:v>MET</x:v>
      </x:c>
      <x:c r="C71" s="26" t="str">
        <x:v>Custom metadata schemas</x:v>
      </x:c>
      <x:c r="D71" s="26" t="str">
        <x:v>MUST</x:v>
      </x:c>
      <x:c r="E71" s="26" t="str">
        <x:v>CORE</x:v>
      </x:c>
      <x:c r="F71" s="26" t="str">
        <x:v>R15</x:v>
      </x:c>
      <x:c r="G71" s="26" t="str">
        <x:v>R34, R31, R29</x:v>
      </x:c>
      <x:c r="H71" s="26" t="str">
        <x:v>R40</x:v>
      </x:c>
      <x:c r="I71" s="26" t="str">
        <x:v>R19 / R40</x:v>
      </x:c>
      <x:c r="J71" s="26" t="str">
        <x:v>Not started</x:v>
      </x:c>
      <x:c r="K71" s="26" t="str"/>
      <x:c r="L71" s="26" t="str">
        <x:v>High</x:v>
      </x:c>
    </x:row>
    <x:row r="72" ht="51" customHeight="1">
      <x:c r="A72" s="26" t="str">
        <x:v>MET-02</x:v>
      </x:c>
      <x:c r="B72" s="26" t="str">
        <x:v>MET</x:v>
      </x:c>
      <x:c r="C72" s="26" t="str">
        <x:v>Required and conditional metadata</x:v>
      </x:c>
      <x:c r="D72" s="26" t="str">
        <x:v>MUST</x:v>
      </x:c>
      <x:c r="E72" s="26" t="str">
        <x:v>CORE</x:v>
      </x:c>
      <x:c r="F72" s="26" t="str">
        <x:v>R15</x:v>
      </x:c>
      <x:c r="G72" s="26" t="str">
        <x:v>R34, R31, R29</x:v>
      </x:c>
      <x:c r="H72" s="26" t="str">
        <x:v>R40</x:v>
      </x:c>
      <x:c r="I72" s="26" t="str">
        <x:v>R19 / R40</x:v>
      </x:c>
      <x:c r="J72" s="26" t="str">
        <x:v>Not started</x:v>
      </x:c>
      <x:c r="K72" s="26" t="str"/>
      <x:c r="L72" s="26" t="str">
        <x:v>High</x:v>
      </x:c>
    </x:row>
    <x:row r="73" ht="51" customHeight="1">
      <x:c r="A73" s="26" t="str">
        <x:v>MET-03</x:v>
      </x:c>
      <x:c r="B73" s="26" t="str">
        <x:v>MET</x:v>
      </x:c>
      <x:c r="C73" s="26" t="str">
        <x:v>Controlled vocabularies</x:v>
      </x:c>
      <x:c r="D73" s="26" t="str">
        <x:v>SHOULD</x:v>
      </x:c>
      <x:c r="E73" s="26" t="str">
        <x:v>ENTERPRISE</x:v>
      </x:c>
      <x:c r="F73" s="26" t="str">
        <x:v>R15</x:v>
      </x:c>
      <x:c r="G73" s="26" t="str">
        <x:v>R34, R31, R29</x:v>
      </x:c>
      <x:c r="H73" s="26" t="str">
        <x:v>R40</x:v>
      </x:c>
      <x:c r="I73" s="26" t="str">
        <x:v>R19 / R40</x:v>
      </x:c>
      <x:c r="J73" s="26" t="str">
        <x:v>Not started</x:v>
      </x:c>
      <x:c r="K73" s="26" t="str"/>
      <x:c r="L73" s="26" t="str">
        <x:v>High</x:v>
      </x:c>
    </x:row>
    <x:row r="74" ht="51" customHeight="1">
      <x:c r="A74" s="26" t="str">
        <x:v>MET-04</x:v>
      </x:c>
      <x:c r="B74" s="26" t="str">
        <x:v>MET</x:v>
      </x:c>
      <x:c r="C74" s="26" t="str">
        <x:v>Saved views and smart folders</x:v>
      </x:c>
      <x:c r="D74" s="26" t="str">
        <x:v>SHOULD</x:v>
      </x:c>
      <x:c r="E74" s="26" t="str">
        <x:v>ENTERPRISE</x:v>
      </x:c>
      <x:c r="F74" s="26" t="str">
        <x:v>R15</x:v>
      </x:c>
      <x:c r="G74" s="26" t="str">
        <x:v>R34, R31, R29</x:v>
      </x:c>
      <x:c r="H74" s="26" t="str">
        <x:v>R40</x:v>
      </x:c>
      <x:c r="I74" s="26" t="str">
        <x:v>R19 / R40</x:v>
      </x:c>
      <x:c r="J74" s="26" t="str">
        <x:v>Not started</x:v>
      </x:c>
      <x:c r="K74" s="26" t="str"/>
      <x:c r="L74" s="26" t="str">
        <x:v>High</x:v>
      </x:c>
    </x:row>
    <x:row r="75" ht="51" customHeight="1">
      <x:c r="A75" s="26" t="str">
        <x:v>MET-05</x:v>
      </x:c>
      <x:c r="B75" s="26" t="str">
        <x:v>MET</x:v>
      </x:c>
      <x:c r="C75" s="26" t="str">
        <x:v>Advanced metadata search</x:v>
      </x:c>
      <x:c r="D75" s="26" t="str">
        <x:v>MUST</x:v>
      </x:c>
      <x:c r="E75" s="26" t="str">
        <x:v>CORE</x:v>
      </x:c>
      <x:c r="F75" s="26" t="str">
        <x:v>R15</x:v>
      </x:c>
      <x:c r="G75" s="26" t="str">
        <x:v>R34, R31, R29</x:v>
      </x:c>
      <x:c r="H75" s="26" t="str">
        <x:v>R40</x:v>
      </x:c>
      <x:c r="I75" s="26" t="str">
        <x:v>R19 / R40</x:v>
      </x:c>
      <x:c r="J75" s="26" t="str">
        <x:v>Not started</x:v>
      </x:c>
      <x:c r="K75" s="26" t="str"/>
      <x:c r="L75" s="26" t="str">
        <x:v>High</x:v>
      </x:c>
    </x:row>
    <x:row r="76" ht="51" customHeight="1">
      <x:c r="A76" s="26" t="str">
        <x:v>MET-06</x:v>
      </x:c>
      <x:c r="B76" s="26" t="str">
        <x:v>MET</x:v>
      </x:c>
      <x:c r="C76" s="26" t="str">
        <x:v>Full-text indexing in managed mode</x:v>
      </x:c>
      <x:c r="D76" s="26" t="str">
        <x:v>SHOULD</x:v>
      </x:c>
      <x:c r="E76" s="26" t="str">
        <x:v>ENTERPRISE</x:v>
      </x:c>
      <x:c r="F76" s="26" t="str">
        <x:v>R15</x:v>
      </x:c>
      <x:c r="G76" s="26" t="str">
        <x:v>R34, R31, R29</x:v>
      </x:c>
      <x:c r="H76" s="26" t="str">
        <x:v>R40</x:v>
      </x:c>
      <x:c r="I76" s="26" t="str">
        <x:v>R19 / R40</x:v>
      </x:c>
      <x:c r="J76" s="26" t="str">
        <x:v>Not started</x:v>
      </x:c>
      <x:c r="K76" s="26" t="str"/>
      <x:c r="L76" s="26" t="str">
        <x:v>High</x:v>
      </x:c>
    </x:row>
    <x:row r="77" ht="51" customHeight="1">
      <x:c r="A77" s="26" t="str">
        <x:v>MET-07</x:v>
      </x:c>
      <x:c r="B77" s="26" t="str">
        <x:v>MET</x:v>
      </x:c>
      <x:c r="C77" s="26" t="str">
        <x:v>Zero-Knowledge discovery</x:v>
      </x:c>
      <x:c r="D77" s="26" t="str">
        <x:v>MUST</x:v>
      </x:c>
      <x:c r="E77" s="26" t="str">
        <x:v>CORE</x:v>
      </x:c>
      <x:c r="F77" s="26" t="str">
        <x:v>R15</x:v>
      </x:c>
      <x:c r="G77" s="26" t="str">
        <x:v>R34, R31, R29</x:v>
      </x:c>
      <x:c r="H77" s="26" t="str">
        <x:v>R40</x:v>
      </x:c>
      <x:c r="I77" s="26" t="str">
        <x:v>R19 / R40</x:v>
      </x:c>
      <x:c r="J77" s="26" t="str">
        <x:v>Not started</x:v>
      </x:c>
      <x:c r="K77" s="26" t="str"/>
      <x:c r="L77" s="26" t="str">
        <x:v>High</x:v>
      </x:c>
    </x:row>
    <x:row r="78" ht="51" customHeight="1">
      <x:c r="A78" s="26" t="str">
        <x:v>MET-08</x:v>
      </x:c>
      <x:c r="B78" s="26" t="str">
        <x:v>MET</x:v>
      </x:c>
      <x:c r="C78" s="26" t="str">
        <x:v>OCR and extraction</x:v>
      </x:c>
      <x:c r="D78" s="26" t="str">
        <x:v>SHOULD</x:v>
      </x:c>
      <x:c r="E78" s="26" t="str">
        <x:v>ENTERPRISE</x:v>
      </x:c>
      <x:c r="F78" s="26" t="str">
        <x:v>R15</x:v>
      </x:c>
      <x:c r="G78" s="26" t="str">
        <x:v>R34, R31, R29</x:v>
      </x:c>
      <x:c r="H78" s="26" t="str">
        <x:v>R40</x:v>
      </x:c>
      <x:c r="I78" s="26" t="str">
        <x:v>R19 / R40</x:v>
      </x:c>
      <x:c r="J78" s="26" t="str">
        <x:v>Not started</x:v>
      </x:c>
      <x:c r="K78" s="26" t="str"/>
      <x:c r="L78" s="26" t="str">
        <x:v>High</x:v>
      </x:c>
    </x:row>
    <x:row r="79" ht="51" customHeight="1">
      <x:c r="A79" s="26" t="str">
        <x:v>MET-09</x:v>
      </x:c>
      <x:c r="B79" s="26" t="str">
        <x:v>MET</x:v>
      </x:c>
      <x:c r="C79" s="26" t="str">
        <x:v>Multilingual search</x:v>
      </x:c>
      <x:c r="D79" s="26" t="str">
        <x:v>SHOULD</x:v>
      </x:c>
      <x:c r="E79" s="26" t="str">
        <x:v>ENTERPRISE</x:v>
      </x:c>
      <x:c r="F79" s="26" t="str">
        <x:v>R15</x:v>
      </x:c>
      <x:c r="G79" s="26" t="str">
        <x:v>R34, R31, R29</x:v>
      </x:c>
      <x:c r="H79" s="26" t="str">
        <x:v>R40</x:v>
      </x:c>
      <x:c r="I79" s="26" t="str">
        <x:v>R19 / R40</x:v>
      </x:c>
      <x:c r="J79" s="26" t="str">
        <x:v>Not started</x:v>
      </x:c>
      <x:c r="K79" s="26" t="str"/>
      <x:c r="L79" s="26" t="str">
        <x:v>High</x:v>
      </x:c>
    </x:row>
    <x:row r="80" ht="51" customHeight="1">
      <x:c r="A80" s="26" t="str">
        <x:v>MET-10</x:v>
      </x:c>
      <x:c r="B80" s="26" t="str">
        <x:v>MET</x:v>
      </x:c>
      <x:c r="C80" s="26" t="str">
        <x:v>Document relationships</x:v>
      </x:c>
      <x:c r="D80" s="26" t="str">
        <x:v>SHOULD</x:v>
      </x:c>
      <x:c r="E80" s="26" t="str">
        <x:v>ENTERPRISE</x:v>
      </x:c>
      <x:c r="F80" s="26" t="str">
        <x:v>R15</x:v>
      </x:c>
      <x:c r="G80" s="26" t="str">
        <x:v>R34, R31, R29</x:v>
      </x:c>
      <x:c r="H80" s="26" t="str">
        <x:v>R40</x:v>
      </x:c>
      <x:c r="I80" s="26" t="str">
        <x:v>R19 / R40</x:v>
      </x:c>
      <x:c r="J80" s="26" t="str">
        <x:v>Not started</x:v>
      </x:c>
      <x:c r="K80" s="26" t="str"/>
      <x:c r="L80" s="26" t="str">
        <x:v>High</x:v>
      </x:c>
    </x:row>
    <x:row r="81" ht="51" customHeight="1">
      <x:c r="A81" s="26" t="str">
        <x:v>MET-11</x:v>
      </x:c>
      <x:c r="B81" s="26" t="str">
        <x:v>MET</x:v>
      </x:c>
      <x:c r="C81" s="26" t="str">
        <x:v>Knowledge graph and lineage</x:v>
      </x:c>
      <x:c r="D81" s="26" t="str">
        <x:v>ADVANCED</x:v>
      </x:c>
      <x:c r="E81" s="26" t="str">
        <x:v>EXPANSION</x:v>
      </x:c>
      <x:c r="F81" s="26" t="str">
        <x:v>R15</x:v>
      </x:c>
      <x:c r="G81" s="26" t="str">
        <x:v>R34, R31, R29</x:v>
      </x:c>
      <x:c r="H81" s="26" t="str">
        <x:v>R40</x:v>
      </x:c>
      <x:c r="I81" s="26" t="str">
        <x:v>R19 / R40</x:v>
      </x:c>
      <x:c r="J81" s="26" t="str">
        <x:v>Not started</x:v>
      </x:c>
      <x:c r="K81" s="26" t="str"/>
      <x:c r="L81" s="26" t="str">
        <x:v>High</x:v>
      </x:c>
    </x:row>
    <x:row r="82" ht="51" customHeight="1">
      <x:c r="A82" s="26" t="str">
        <x:v>MET-12</x:v>
      </x:c>
      <x:c r="B82" s="26" t="str">
        <x:v>MET</x:v>
      </x:c>
      <x:c r="C82" s="26" t="str">
        <x:v>Duplicate topic detection</x:v>
      </x:c>
      <x:c r="D82" s="26" t="str">
        <x:v>ADVANCED</x:v>
      </x:c>
      <x:c r="E82" s="26" t="str">
        <x:v>EXPANSION</x:v>
      </x:c>
      <x:c r="F82" s="26" t="str">
        <x:v>R15</x:v>
      </x:c>
      <x:c r="G82" s="26" t="str">
        <x:v>R34, R31, R29</x:v>
      </x:c>
      <x:c r="H82" s="26" t="str">
        <x:v>R40</x:v>
      </x:c>
      <x:c r="I82" s="26" t="str">
        <x:v>R19 / R40</x:v>
      </x:c>
      <x:c r="J82" s="26" t="str">
        <x:v>Not started</x:v>
      </x:c>
      <x:c r="K82" s="26" t="str"/>
      <x:c r="L82" s="26" t="str">
        <x:v>High</x:v>
      </x:c>
    </x:row>
    <x:row r="83" ht="51" customHeight="1">
      <x:c r="A83" s="26" t="str">
        <x:v>MET-13</x:v>
      </x:c>
      <x:c r="B83" s="26" t="str">
        <x:v>MET</x:v>
      </x:c>
      <x:c r="C83" s="26" t="str">
        <x:v>Search relevance tuning</x:v>
      </x:c>
      <x:c r="D83" s="26" t="str">
        <x:v>SHOULD</x:v>
      </x:c>
      <x:c r="E83" s="26" t="str">
        <x:v>ENTERPRISE</x:v>
      </x:c>
      <x:c r="F83" s="26" t="str">
        <x:v>R15</x:v>
      </x:c>
      <x:c r="G83" s="26" t="str">
        <x:v>R34, R31, R29</x:v>
      </x:c>
      <x:c r="H83" s="26" t="str">
        <x:v>R40</x:v>
      </x:c>
      <x:c r="I83" s="26" t="str">
        <x:v>R19 / R40</x:v>
      </x:c>
      <x:c r="J83" s="26" t="str">
        <x:v>Not started</x:v>
      </x:c>
      <x:c r="K83" s="26" t="str"/>
      <x:c r="L83" s="26" t="str">
        <x:v>High</x:v>
      </x:c>
    </x:row>
    <x:row r="84" ht="51" customHeight="1">
      <x:c r="A84" s="26" t="str">
        <x:v>MET-14</x:v>
      </x:c>
      <x:c r="B84" s="26" t="str">
        <x:v>MET</x:v>
      </x:c>
      <x:c r="C84" s="26" t="str">
        <x:v>Search history and favorites</x:v>
      </x:c>
      <x:c r="D84" s="26" t="str">
        <x:v>SHOULD</x:v>
      </x:c>
      <x:c r="E84" s="26" t="str">
        <x:v>ENTERPRISE</x:v>
      </x:c>
      <x:c r="F84" s="26" t="str">
        <x:v>R15</x:v>
      </x:c>
      <x:c r="G84" s="26" t="str">
        <x:v>R34, R31, R29</x:v>
      </x:c>
      <x:c r="H84" s="26" t="str">
        <x:v>R40</x:v>
      </x:c>
      <x:c r="I84" s="26" t="str">
        <x:v>R19 / R40</x:v>
      </x:c>
      <x:c r="J84" s="26" t="str">
        <x:v>Not started</x:v>
      </x:c>
      <x:c r="K84" s="26" t="str"/>
      <x:c r="L84" s="26" t="str">
        <x:v>High</x:v>
      </x:c>
    </x:row>
    <x:row r="85" ht="51" customHeight="1">
      <x:c r="A85" s="26" t="str">
        <x:v>MET-15</x:v>
      </x:c>
      <x:c r="B85" s="26" t="str">
        <x:v>MET</x:v>
      </x:c>
      <x:c r="C85" s="26" t="str">
        <x:v>Content provenance</x:v>
      </x:c>
      <x:c r="D85" s="26" t="str">
        <x:v>MUST</x:v>
      </x:c>
      <x:c r="E85" s="26" t="str">
        <x:v>CORE</x:v>
      </x:c>
      <x:c r="F85" s="26" t="str">
        <x:v>R15</x:v>
      </x:c>
      <x:c r="G85" s="26" t="str">
        <x:v>R34, R31, R29</x:v>
      </x:c>
      <x:c r="H85" s="26" t="str">
        <x:v>R40</x:v>
      </x:c>
      <x:c r="I85" s="26" t="str">
        <x:v>R19 / R40</x:v>
      </x:c>
      <x:c r="J85" s="26" t="str">
        <x:v>Not started</x:v>
      </x:c>
      <x:c r="K85" s="26" t="str"/>
      <x:c r="L85" s="26" t="str">
        <x:v>High</x:v>
      </x:c>
    </x:row>
    <x:row r="86" ht="51" customHeight="1">
      <x:c r="A86" s="26" t="str">
        <x:v>MET-16</x:v>
      </x:c>
      <x:c r="B86" s="26" t="str">
        <x:v>MET</x:v>
      </x:c>
      <x:c r="C86" s="26" t="str">
        <x:v>Information-quality indicators</x:v>
      </x:c>
      <x:c r="D86" s="26" t="str">
        <x:v>SHOULD</x:v>
      </x:c>
      <x:c r="E86" s="26" t="str">
        <x:v>ENTERPRISE</x:v>
      </x:c>
      <x:c r="F86" s="26" t="str">
        <x:v>R15</x:v>
      </x:c>
      <x:c r="G86" s="26" t="str">
        <x:v>R34, R31, R29</x:v>
      </x:c>
      <x:c r="H86" s="26" t="str">
        <x:v>R40</x:v>
      </x:c>
      <x:c r="I86" s="26" t="str">
        <x:v>R19 / R40</x:v>
      </x:c>
      <x:c r="J86" s="26" t="str">
        <x:v>Not started</x:v>
      </x:c>
      <x:c r="K86" s="26" t="str"/>
      <x:c r="L86" s="26" t="str">
        <x:v>High</x:v>
      </x:c>
    </x:row>
    <x:row r="87" ht="51" customHeight="1">
      <x:c r="A87" s="26" t="str">
        <x:v>COL-01</x:v>
      </x:c>
      <x:c r="B87" s="26" t="str">
        <x:v>COL</x:v>
      </x:c>
      <x:c r="C87" s="26" t="str">
        <x:v>Immutable version history</x:v>
      </x:c>
      <x:c r="D87" s="26" t="str">
        <x:v>MUST</x:v>
      </x:c>
      <x:c r="E87" s="26" t="str">
        <x:v>CORE</x:v>
      </x:c>
      <x:c r="F87" s="26" t="str">
        <x:v>R03</x:v>
      </x:c>
      <x:c r="G87" s="26" t="str">
        <x:v>R30, R29, R37</x:v>
      </x:c>
      <x:c r="H87" s="26" t="str">
        <x:v>R40</x:v>
      </x:c>
      <x:c r="I87" s="26" t="str">
        <x:v>R19 / R40</x:v>
      </x:c>
      <x:c r="J87" s="26" t="str">
        <x:v>Not started</x:v>
      </x:c>
      <x:c r="K87" s="26" t="str"/>
      <x:c r="L87" s="26" t="str">
        <x:v>High</x:v>
      </x:c>
    </x:row>
    <x:row r="88" ht="51" customHeight="1">
      <x:c r="A88" s="26" t="str">
        <x:v>COL-02</x:v>
      </x:c>
      <x:c r="B88" s="26" t="str">
        <x:v>COL</x:v>
      </x:c>
      <x:c r="C88" s="26" t="str">
        <x:v>Major and minor revisions</x:v>
      </x:c>
      <x:c r="D88" s="26" t="str">
        <x:v>SHOULD</x:v>
      </x:c>
      <x:c r="E88" s="26" t="str">
        <x:v>ENTERPRISE</x:v>
      </x:c>
      <x:c r="F88" s="26" t="str">
        <x:v>R03</x:v>
      </x:c>
      <x:c r="G88" s="26" t="str">
        <x:v>R30, R29, R37</x:v>
      </x:c>
      <x:c r="H88" s="26" t="str">
        <x:v>R40</x:v>
      </x:c>
      <x:c r="I88" s="26" t="str">
        <x:v>R19 / R40</x:v>
      </x:c>
      <x:c r="J88" s="26" t="str">
        <x:v>Not started</x:v>
      </x:c>
      <x:c r="K88" s="26" t="str"/>
      <x:c r="L88" s="26" t="str">
        <x:v>High</x:v>
      </x:c>
    </x:row>
    <x:row r="89" ht="51" customHeight="1">
      <x:c r="A89" s="26" t="str">
        <x:v>COL-03</x:v>
      </x:c>
      <x:c r="B89" s="26" t="str">
        <x:v>COL</x:v>
      </x:c>
      <x:c r="C89" s="26" t="str">
        <x:v>Version comparison</x:v>
      </x:c>
      <x:c r="D89" s="26" t="str">
        <x:v>SHOULD</x:v>
      </x:c>
      <x:c r="E89" s="26" t="str">
        <x:v>ENTERPRISE</x:v>
      </x:c>
      <x:c r="F89" s="26" t="str">
        <x:v>R03</x:v>
      </x:c>
      <x:c r="G89" s="26" t="str">
        <x:v>R30, R29, R37</x:v>
      </x:c>
      <x:c r="H89" s="26" t="str">
        <x:v>R40</x:v>
      </x:c>
      <x:c r="I89" s="26" t="str">
        <x:v>R19 / R40</x:v>
      </x:c>
      <x:c r="J89" s="26" t="str">
        <x:v>Not started</x:v>
      </x:c>
      <x:c r="K89" s="26" t="str"/>
      <x:c r="L89" s="26" t="str">
        <x:v>High</x:v>
      </x:c>
    </x:row>
    <x:row r="90" ht="51" customHeight="1">
      <x:c r="A90" s="26" t="str">
        <x:v>COL-04</x:v>
      </x:c>
      <x:c r="B90" s="26" t="str">
        <x:v>COL</x:v>
      </x:c>
      <x:c r="C90" s="26" t="str">
        <x:v>File locking and checkout</x:v>
      </x:c>
      <x:c r="D90" s="26" t="str">
        <x:v>MUST</x:v>
      </x:c>
      <x:c r="E90" s="26" t="str">
        <x:v>CORE</x:v>
      </x:c>
      <x:c r="F90" s="26" t="str">
        <x:v>R03</x:v>
      </x:c>
      <x:c r="G90" s="26" t="str">
        <x:v>R30, R29, R37</x:v>
      </x:c>
      <x:c r="H90" s="26" t="str">
        <x:v>R40</x:v>
      </x:c>
      <x:c r="I90" s="26" t="str">
        <x:v>R19 / R40</x:v>
      </x:c>
      <x:c r="J90" s="26" t="str">
        <x:v>Not started</x:v>
      </x:c>
      <x:c r="K90" s="26" t="str"/>
      <x:c r="L90" s="26" t="str">
        <x:v>High</x:v>
      </x:c>
    </x:row>
    <x:row r="91" ht="51" customHeight="1">
      <x:c r="A91" s="26" t="str">
        <x:v>COL-05</x:v>
      </x:c>
      <x:c r="B91" s="26" t="str">
        <x:v>COL</x:v>
      </x:c>
      <x:c r="C91" s="26" t="str">
        <x:v>Browser editing</x:v>
      </x:c>
      <x:c r="D91" s="26" t="str">
        <x:v>SHOULD</x:v>
      </x:c>
      <x:c r="E91" s="26" t="str">
        <x:v>ENTERPRISE</x:v>
      </x:c>
      <x:c r="F91" s="26" t="str">
        <x:v>R03</x:v>
      </x:c>
      <x:c r="G91" s="26" t="str">
        <x:v>R30, R29, R37</x:v>
      </x:c>
      <x:c r="H91" s="26" t="str">
        <x:v>R40</x:v>
      </x:c>
      <x:c r="I91" s="26" t="str">
        <x:v>R19 / R40</x:v>
      </x:c>
      <x:c r="J91" s="26" t="str">
        <x:v>Not started</x:v>
      </x:c>
      <x:c r="K91" s="26" t="str"/>
      <x:c r="L91" s="26" t="str">
        <x:v>High</x:v>
      </x:c>
    </x:row>
    <x:row r="92" ht="51" customHeight="1">
      <x:c r="A92" s="26" t="str">
        <x:v>COL-06</x:v>
      </x:c>
      <x:c r="B92" s="26" t="str">
        <x:v>COL</x:v>
      </x:c>
      <x:c r="C92" s="26" t="str">
        <x:v>Real-time coauthoring</x:v>
      </x:c>
      <x:c r="D92" s="26" t="str">
        <x:v>ADVANCED</x:v>
      </x:c>
      <x:c r="E92" s="26" t="str">
        <x:v>EXPANSION</x:v>
      </x:c>
      <x:c r="F92" s="26" t="str">
        <x:v>R03</x:v>
      </x:c>
      <x:c r="G92" s="26" t="str">
        <x:v>R30, R29, R37</x:v>
      </x:c>
      <x:c r="H92" s="26" t="str">
        <x:v>R40</x:v>
      </x:c>
      <x:c r="I92" s="26" t="str">
        <x:v>R19 / R40</x:v>
      </x:c>
      <x:c r="J92" s="26" t="str">
        <x:v>Not started</x:v>
      </x:c>
      <x:c r="K92" s="26" t="str"/>
      <x:c r="L92" s="26" t="str">
        <x:v>High</x:v>
      </x:c>
    </x:row>
    <x:row r="93" ht="51" customHeight="1">
      <x:c r="A93" s="26" t="str">
        <x:v>COL-07</x:v>
      </x:c>
      <x:c r="B93" s="26" t="str">
        <x:v>COL</x:v>
      </x:c>
      <x:c r="C93" s="26" t="str">
        <x:v>Inline comments and replies</x:v>
      </x:c>
      <x:c r="D93" s="26" t="str">
        <x:v>MUST</x:v>
      </x:c>
      <x:c r="E93" s="26" t="str">
        <x:v>CORE</x:v>
      </x:c>
      <x:c r="F93" s="26" t="str">
        <x:v>R03</x:v>
      </x:c>
      <x:c r="G93" s="26" t="str">
        <x:v>R30, R29, R37</x:v>
      </x:c>
      <x:c r="H93" s="26" t="str">
        <x:v>R40</x:v>
      </x:c>
      <x:c r="I93" s="26" t="str">
        <x:v>R19 / R40</x:v>
      </x:c>
      <x:c r="J93" s="26" t="str">
        <x:v>Not started</x:v>
      </x:c>
      <x:c r="K93" s="26" t="str"/>
      <x:c r="L93" s="26" t="str">
        <x:v>High</x:v>
      </x:c>
    </x:row>
    <x:row r="94" ht="51" customHeight="1">
      <x:c r="A94" s="26" t="str">
        <x:v>COL-08</x:v>
      </x:c>
      <x:c r="B94" s="26" t="str">
        <x:v>COL</x:v>
      </x:c>
      <x:c r="C94" s="26" t="str">
        <x:v>Annotations and highlights</x:v>
      </x:c>
      <x:c r="D94" s="26" t="str">
        <x:v>SHOULD</x:v>
      </x:c>
      <x:c r="E94" s="26" t="str">
        <x:v>ENTERPRISE</x:v>
      </x:c>
      <x:c r="F94" s="26" t="str">
        <x:v>R03</x:v>
      </x:c>
      <x:c r="G94" s="26" t="str">
        <x:v>R30, R29, R37</x:v>
      </x:c>
      <x:c r="H94" s="26" t="str">
        <x:v>R40</x:v>
      </x:c>
      <x:c r="I94" s="26" t="str">
        <x:v>R19 / R40</x:v>
      </x:c>
      <x:c r="J94" s="26" t="str">
        <x:v>Not started</x:v>
      </x:c>
      <x:c r="K94" s="26" t="str"/>
      <x:c r="L94" s="26" t="str">
        <x:v>High</x:v>
      </x:c>
    </x:row>
    <x:row r="95" ht="51" customHeight="1">
      <x:c r="A95" s="26" t="str">
        <x:v>COL-09</x:v>
      </x:c>
      <x:c r="B95" s="26" t="str">
        <x:v>COL</x:v>
      </x:c>
      <x:c r="C95" s="26" t="str">
        <x:v>Suggested edits and change requests</x:v>
      </x:c>
      <x:c r="D95" s="26" t="str">
        <x:v>SHOULD</x:v>
      </x:c>
      <x:c r="E95" s="26" t="str">
        <x:v>ENTERPRISE</x:v>
      </x:c>
      <x:c r="F95" s="26" t="str">
        <x:v>R03</x:v>
      </x:c>
      <x:c r="G95" s="26" t="str">
        <x:v>R30, R29, R37</x:v>
      </x:c>
      <x:c r="H95" s="26" t="str">
        <x:v>R40</x:v>
      </x:c>
      <x:c r="I95" s="26" t="str">
        <x:v>R19 / R40</x:v>
      </x:c>
      <x:c r="J95" s="26" t="str">
        <x:v>Not started</x:v>
      </x:c>
      <x:c r="K95" s="26" t="str"/>
      <x:c r="L95" s="26" t="str">
        <x:v>High</x:v>
      </x:c>
    </x:row>
    <x:row r="96" ht="51" customHeight="1">
      <x:c r="A96" s="26" t="str">
        <x:v>COL-10</x:v>
      </x:c>
      <x:c r="B96" s="26" t="str">
        <x:v>COL</x:v>
      </x:c>
      <x:c r="C96" s="26" t="str">
        <x:v>Review assignments</x:v>
      </x:c>
      <x:c r="D96" s="26" t="str">
        <x:v>MUST</x:v>
      </x:c>
      <x:c r="E96" s="26" t="str">
        <x:v>CORE</x:v>
      </x:c>
      <x:c r="F96" s="26" t="str">
        <x:v>R03</x:v>
      </x:c>
      <x:c r="G96" s="26" t="str">
        <x:v>R30, R29, R37</x:v>
      </x:c>
      <x:c r="H96" s="26" t="str">
        <x:v>R40</x:v>
      </x:c>
      <x:c r="I96" s="26" t="str">
        <x:v>R19 / R40</x:v>
      </x:c>
      <x:c r="J96" s="26" t="str">
        <x:v>Not started</x:v>
      </x:c>
      <x:c r="K96" s="26" t="str"/>
      <x:c r="L96" s="26" t="str">
        <x:v>High</x:v>
      </x:c>
    </x:row>
    <x:row r="97" ht="51" customHeight="1">
      <x:c r="A97" s="26" t="str">
        <x:v>COL-11</x:v>
      </x:c>
      <x:c r="B97" s="26" t="str">
        <x:v>COL</x:v>
      </x:c>
      <x:c r="C97" s="26" t="str">
        <x:v>Document subscriptions</x:v>
      </x:c>
      <x:c r="D97" s="26" t="str">
        <x:v>SHOULD</x:v>
      </x:c>
      <x:c r="E97" s="26" t="str">
        <x:v>ENTERPRISE</x:v>
      </x:c>
      <x:c r="F97" s="26" t="str">
        <x:v>R03</x:v>
      </x:c>
      <x:c r="G97" s="26" t="str">
        <x:v>R30, R29, R37</x:v>
      </x:c>
      <x:c r="H97" s="26" t="str">
        <x:v>R40</x:v>
      </x:c>
      <x:c r="I97" s="26" t="str">
        <x:v>R19 / R40</x:v>
      </x:c>
      <x:c r="J97" s="26" t="str">
        <x:v>Not started</x:v>
      </x:c>
      <x:c r="K97" s="26" t="str"/>
      <x:c r="L97" s="26" t="str">
        <x:v>High</x:v>
      </x:c>
    </x:row>
    <x:row r="98" ht="51" customHeight="1">
      <x:c r="A98" s="26" t="str">
        <x:v>COL-12</x:v>
      </x:c>
      <x:c r="B98" s="26" t="str">
        <x:v>COL</x:v>
      </x:c>
      <x:c r="C98" s="26" t="str">
        <x:v>Watermarking and visual labels</x:v>
      </x:c>
      <x:c r="D98" s="26" t="str">
        <x:v>SHOULD</x:v>
      </x:c>
      <x:c r="E98" s="26" t="str">
        <x:v>ENTERPRISE</x:v>
      </x:c>
      <x:c r="F98" s="26" t="str">
        <x:v>R03</x:v>
      </x:c>
      <x:c r="G98" s="26" t="str">
        <x:v>R30, R29, R37</x:v>
      </x:c>
      <x:c r="H98" s="26" t="str">
        <x:v>R40</x:v>
      </x:c>
      <x:c r="I98" s="26" t="str">
        <x:v>R19 / R40</x:v>
      </x:c>
      <x:c r="J98" s="26" t="str">
        <x:v>Not started</x:v>
      </x:c>
      <x:c r="K98" s="26" t="str"/>
      <x:c r="L98" s="26" t="str">
        <x:v>High</x:v>
      </x:c>
    </x:row>
    <x:row r="99" ht="51" customHeight="1">
      <x:c r="A99" s="26" t="str">
        <x:v>COL-13</x:v>
      </x:c>
      <x:c r="B99" s="26" t="str">
        <x:v>COL</x:v>
      </x:c>
      <x:c r="C99" s="26" t="str">
        <x:v>Offline edit conflict handling</x:v>
      </x:c>
      <x:c r="D99" s="26" t="str">
        <x:v>ADVANCED</x:v>
      </x:c>
      <x:c r="E99" s="26" t="str">
        <x:v>EXPANSION</x:v>
      </x:c>
      <x:c r="F99" s="26" t="str">
        <x:v>R03</x:v>
      </x:c>
      <x:c r="G99" s="26" t="str">
        <x:v>R30, R29, R37</x:v>
      </x:c>
      <x:c r="H99" s="26" t="str">
        <x:v>R40</x:v>
      </x:c>
      <x:c r="I99" s="26" t="str">
        <x:v>R19 / R40</x:v>
      </x:c>
      <x:c r="J99" s="26" t="str">
        <x:v>Not started</x:v>
      </x:c>
      <x:c r="K99" s="26" t="str"/>
      <x:c r="L99" s="26" t="str">
        <x:v>High</x:v>
      </x:c>
    </x:row>
    <x:row r="100" ht="51" customHeight="1">
      <x:c r="A100" s="26" t="str">
        <x:v>COL-14</x:v>
      </x:c>
      <x:c r="B100" s="26" t="str">
        <x:v>COL</x:v>
      </x:c>
      <x:c r="C100" s="26" t="str">
        <x:v>Approval signatures</x:v>
      </x:c>
      <x:c r="D100" s="26" t="str">
        <x:v>MUST</x:v>
      </x:c>
      <x:c r="E100" s="26" t="str">
        <x:v>CORE</x:v>
      </x:c>
      <x:c r="F100" s="26" t="str">
        <x:v>R03</x:v>
      </x:c>
      <x:c r="G100" s="26" t="str">
        <x:v>R30, R29, R37</x:v>
      </x:c>
      <x:c r="H100" s="26" t="str">
        <x:v>R40</x:v>
      </x:c>
      <x:c r="I100" s="26" t="str">
        <x:v>R19 / R40</x:v>
      </x:c>
      <x:c r="J100" s="26" t="str">
        <x:v>Not started</x:v>
      </x:c>
      <x:c r="K100" s="26" t="str"/>
      <x:c r="L100" s="26" t="str">
        <x:v>High</x:v>
      </x:c>
    </x:row>
    <x:row r="101" ht="51" customHeight="1">
      <x:c r="A101" s="26" t="str">
        <x:v>COL-15</x:v>
      </x:c>
      <x:c r="B101" s="26" t="str">
        <x:v>COL</x:v>
      </x:c>
      <x:c r="C101" s="26" t="str">
        <x:v>Discussion and reactions</x:v>
      </x:c>
      <x:c r="D101" s="26" t="str">
        <x:v>SHOULD</x:v>
      </x:c>
      <x:c r="E101" s="26" t="str">
        <x:v>ENTERPRISE</x:v>
      </x:c>
      <x:c r="F101" s="26" t="str">
        <x:v>R03</x:v>
      </x:c>
      <x:c r="G101" s="26" t="str">
        <x:v>R30, R29, R37</x:v>
      </x:c>
      <x:c r="H101" s="26" t="str">
        <x:v>R40</x:v>
      </x:c>
      <x:c r="I101" s="26" t="str">
        <x:v>R19 / R40</x:v>
      </x:c>
      <x:c r="J101" s="26" t="str">
        <x:v>Not started</x:v>
      </x:c>
      <x:c r="K101" s="26" t="str"/>
      <x:c r="L101" s="26" t="str">
        <x:v>High</x:v>
      </x:c>
    </x:row>
    <x:row r="102" ht="51" customHeight="1">
      <x:c r="A102" s="26" t="str">
        <x:v>COL-16</x:v>
      </x:c>
      <x:c r="B102" s="26" t="str">
        <x:v>COL</x:v>
      </x:c>
      <x:c r="C102" s="26" t="str">
        <x:v>Collaborator presence</x:v>
      </x:c>
      <x:c r="D102" s="26" t="str">
        <x:v>ADVANCED</x:v>
      </x:c>
      <x:c r="E102" s="26" t="str">
        <x:v>EXPANSION</x:v>
      </x:c>
      <x:c r="F102" s="26" t="str">
        <x:v>R03</x:v>
      </x:c>
      <x:c r="G102" s="26" t="str">
        <x:v>R30, R29, R37</x:v>
      </x:c>
      <x:c r="H102" s="26" t="str">
        <x:v>R40</x:v>
      </x:c>
      <x:c r="I102" s="26" t="str">
        <x:v>R19 / R40</x:v>
      </x:c>
      <x:c r="J102" s="26" t="str">
        <x:v>Not started</x:v>
      </x:c>
      <x:c r="K102" s="26" t="str"/>
      <x:c r="L102" s="26" t="str">
        <x:v>High</x:v>
      </x:c>
    </x:row>
    <x:row r="103" ht="51" customHeight="1">
      <x:c r="A103" s="26" t="str">
        <x:v>KNO-01</x:v>
      </x:c>
      <x:c r="B103" s="26" t="str">
        <x:v>KNO</x:v>
      </x:c>
      <x:c r="C103" s="26" t="str">
        <x:v>Rich knowledge pages</x:v>
      </x:c>
      <x:c r="D103" s="26" t="str">
        <x:v>MUST</x:v>
      </x:c>
      <x:c r="E103" s="26" t="str">
        <x:v>CORE</x:v>
      </x:c>
      <x:c r="F103" s="26" t="str">
        <x:v>R15</x:v>
      </x:c>
      <x:c r="G103" s="26" t="str">
        <x:v>R30, R29, R34</x:v>
      </x:c>
      <x:c r="H103" s="26" t="str">
        <x:v>R40</x:v>
      </x:c>
      <x:c r="I103" s="26" t="str">
        <x:v>R19 / R40</x:v>
      </x:c>
      <x:c r="J103" s="26" t="str">
        <x:v>Not started</x:v>
      </x:c>
      <x:c r="K103" s="26" t="str"/>
      <x:c r="L103" s="26" t="str">
        <x:v>High</x:v>
      </x:c>
    </x:row>
    <x:row r="104" ht="51" customHeight="1">
      <x:c r="A104" s="26" t="str">
        <x:v>KNO-02</x:v>
      </x:c>
      <x:c r="B104" s="26" t="str">
        <x:v>KNO</x:v>
      </x:c>
      <x:c r="C104" s="26" t="str">
        <x:v>Knowledge spaces</x:v>
      </x:c>
      <x:c r="D104" s="26" t="str">
        <x:v>MUST</x:v>
      </x:c>
      <x:c r="E104" s="26" t="str">
        <x:v>CORE</x:v>
      </x:c>
      <x:c r="F104" s="26" t="str">
        <x:v>R15</x:v>
      </x:c>
      <x:c r="G104" s="26" t="str">
        <x:v>R30, R29, R34</x:v>
      </x:c>
      <x:c r="H104" s="26" t="str">
        <x:v>R40</x:v>
      </x:c>
      <x:c r="I104" s="26" t="str">
        <x:v>R19 / R40</x:v>
      </x:c>
      <x:c r="J104" s="26" t="str">
        <x:v>Not started</x:v>
      </x:c>
      <x:c r="K104" s="26" t="str"/>
      <x:c r="L104" s="26" t="str">
        <x:v>High</x:v>
      </x:c>
    </x:row>
    <x:row r="105" ht="51" customHeight="1">
      <x:c r="A105" s="26" t="str">
        <x:v>KNO-03</x:v>
      </x:c>
      <x:c r="B105" s="26" t="str">
        <x:v>KNO</x:v>
      </x:c>
      <x:c r="C105" s="26" t="str">
        <x:v>Standard knowledge templates</x:v>
      </x:c>
      <x:c r="D105" s="26" t="str">
        <x:v>SHOULD</x:v>
      </x:c>
      <x:c r="E105" s="26" t="str">
        <x:v>ENTERPRISE</x:v>
      </x:c>
      <x:c r="F105" s="26" t="str">
        <x:v>R15</x:v>
      </x:c>
      <x:c r="G105" s="26" t="str">
        <x:v>R30, R29, R34</x:v>
      </x:c>
      <x:c r="H105" s="26" t="str">
        <x:v>R40</x:v>
      </x:c>
      <x:c r="I105" s="26" t="str">
        <x:v>R19 / R40</x:v>
      </x:c>
      <x:c r="J105" s="26" t="str">
        <x:v>Not started</x:v>
      </x:c>
      <x:c r="K105" s="26" t="str"/>
      <x:c r="L105" s="26" t="str">
        <x:v>High</x:v>
      </x:c>
    </x:row>
    <x:row r="106" ht="51" customHeight="1">
      <x:c r="A106" s="26" t="str">
        <x:v>KNO-04</x:v>
      </x:c>
      <x:c r="B106" s="26" t="str">
        <x:v>KNO</x:v>
      </x:c>
      <x:c r="C106" s="26" t="str">
        <x:v>FAQs and troubleshooting</x:v>
      </x:c>
      <x:c r="D106" s="26" t="str">
        <x:v>SHOULD</x:v>
      </x:c>
      <x:c r="E106" s="26" t="str">
        <x:v>ENTERPRISE</x:v>
      </x:c>
      <x:c r="F106" s="26" t="str">
        <x:v>R15</x:v>
      </x:c>
      <x:c r="G106" s="26" t="str">
        <x:v>R30, R29, R34</x:v>
      </x:c>
      <x:c r="H106" s="26" t="str">
        <x:v>R40</x:v>
      </x:c>
      <x:c r="I106" s="26" t="str">
        <x:v>R19 / R40</x:v>
      </x:c>
      <x:c r="J106" s="26" t="str">
        <x:v>Not started</x:v>
      </x:c>
      <x:c r="K106" s="26" t="str"/>
      <x:c r="L106" s="26" t="str">
        <x:v>High</x:v>
      </x:c>
    </x:row>
    <x:row r="107" ht="51" customHeight="1">
      <x:c r="A107" s="26" t="str">
        <x:v>KNO-05</x:v>
      </x:c>
      <x:c r="B107" s="26" t="str">
        <x:v>KNO</x:v>
      </x:c>
      <x:c r="C107" s="26" t="str">
        <x:v>Subject-matter expert directory</x:v>
      </x:c>
      <x:c r="D107" s="26" t="str">
        <x:v>SHOULD</x:v>
      </x:c>
      <x:c r="E107" s="26" t="str">
        <x:v>ENTERPRISE</x:v>
      </x:c>
      <x:c r="F107" s="26" t="str">
        <x:v>R15</x:v>
      </x:c>
      <x:c r="G107" s="26" t="str">
        <x:v>R30, R29, R34</x:v>
      </x:c>
      <x:c r="H107" s="26" t="str">
        <x:v>R40</x:v>
      </x:c>
      <x:c r="I107" s="26" t="str">
        <x:v>R19 / R40</x:v>
      </x:c>
      <x:c r="J107" s="26" t="str">
        <x:v>Not started</x:v>
      </x:c>
      <x:c r="K107" s="26" t="str"/>
      <x:c r="L107" s="26" t="str">
        <x:v>High</x:v>
      </x:c>
    </x:row>
    <x:row r="108" ht="51" customHeight="1">
      <x:c r="A108" s="26" t="str">
        <x:v>KNO-06</x:v>
      </x:c>
      <x:c r="B108" s="26" t="str">
        <x:v>KNO</x:v>
      </x:c>
      <x:c r="C108" s="26" t="str">
        <x:v>Verified canonical articles</x:v>
      </x:c>
      <x:c r="D108" s="26" t="str">
        <x:v>MUST</x:v>
      </x:c>
      <x:c r="E108" s="26" t="str">
        <x:v>CORE</x:v>
      </x:c>
      <x:c r="F108" s="26" t="str">
        <x:v>R15</x:v>
      </x:c>
      <x:c r="G108" s="26" t="str">
        <x:v>R30, R29, R34</x:v>
      </x:c>
      <x:c r="H108" s="26" t="str">
        <x:v>R40</x:v>
      </x:c>
      <x:c r="I108" s="26" t="str">
        <x:v>R19 / R40</x:v>
      </x:c>
      <x:c r="J108" s="26" t="str">
        <x:v>Not started</x:v>
      </x:c>
      <x:c r="K108" s="26" t="str"/>
      <x:c r="L108" s="26" t="str">
        <x:v>High</x:v>
      </x:c>
    </x:row>
    <x:row r="109" ht="51" customHeight="1">
      <x:c r="A109" s="26" t="str">
        <x:v>KNO-07</x:v>
      </x:c>
      <x:c r="B109" s="26" t="str">
        <x:v>KNO</x:v>
      </x:c>
      <x:c r="C109" s="26" t="str">
        <x:v>Learning paths and reading lists</x:v>
      </x:c>
      <x:c r="D109" s="26" t="str">
        <x:v>SHOULD</x:v>
      </x:c>
      <x:c r="E109" s="26" t="str">
        <x:v>ENTERPRISE</x:v>
      </x:c>
      <x:c r="F109" s="26" t="str">
        <x:v>R15</x:v>
      </x:c>
      <x:c r="G109" s="26" t="str">
        <x:v>R30, R29, R34</x:v>
      </x:c>
      <x:c r="H109" s="26" t="str">
        <x:v>R40</x:v>
      </x:c>
      <x:c r="I109" s="26" t="str">
        <x:v>R19 / R40</x:v>
      </x:c>
      <x:c r="J109" s="26" t="str">
        <x:v>Not started</x:v>
      </x:c>
      <x:c r="K109" s="26" t="str"/>
      <x:c r="L109" s="26" t="str">
        <x:v>High</x:v>
      </x:c>
    </x:row>
    <x:row r="110" ht="51" customHeight="1">
      <x:c r="A110" s="26" t="str">
        <x:v>KNO-08</x:v>
      </x:c>
      <x:c r="B110" s="26" t="str">
        <x:v>KNO</x:v>
      </x:c>
      <x:c r="C110" s="26" t="str">
        <x:v>Required reading and attestations</x:v>
      </x:c>
      <x:c r="D110" s="26" t="str">
        <x:v>SHOULD</x:v>
      </x:c>
      <x:c r="E110" s="26" t="str">
        <x:v>ENTERPRISE</x:v>
      </x:c>
      <x:c r="F110" s="26" t="str">
        <x:v>R15</x:v>
      </x:c>
      <x:c r="G110" s="26" t="str">
        <x:v>R30, R29, R34</x:v>
      </x:c>
      <x:c r="H110" s="26" t="str">
        <x:v>R40</x:v>
      </x:c>
      <x:c r="I110" s="26" t="str">
        <x:v>R19 / R40</x:v>
      </x:c>
      <x:c r="J110" s="26" t="str">
        <x:v>Not started</x:v>
      </x:c>
      <x:c r="K110" s="26" t="str"/>
      <x:c r="L110" s="26" t="str">
        <x:v>High</x:v>
      </x:c>
    </x:row>
    <x:row r="111" ht="51" customHeight="1">
      <x:c r="A111" s="26" t="str">
        <x:v>KNO-09</x:v>
      </x:c>
      <x:c r="B111" s="26" t="str">
        <x:v>KNO</x:v>
      </x:c>
      <x:c r="C111" s="26" t="str">
        <x:v>Community contributions</x:v>
      </x:c>
      <x:c r="D111" s="26" t="str">
        <x:v>SHOULD</x:v>
      </x:c>
      <x:c r="E111" s="26" t="str">
        <x:v>ENTERPRISE</x:v>
      </x:c>
      <x:c r="F111" s="26" t="str">
        <x:v>R15</x:v>
      </x:c>
      <x:c r="G111" s="26" t="str">
        <x:v>R30, R29, R34</x:v>
      </x:c>
      <x:c r="H111" s="26" t="str">
        <x:v>R40</x:v>
      </x:c>
      <x:c r="I111" s="26" t="str">
        <x:v>R19 / R40</x:v>
      </x:c>
      <x:c r="J111" s="26" t="str">
        <x:v>Not started</x:v>
      </x:c>
      <x:c r="K111" s="26" t="str"/>
      <x:c r="L111" s="26" t="str">
        <x:v>High</x:v>
      </x:c>
    </x:row>
    <x:row r="112" ht="51" customHeight="1">
      <x:c r="A112" s="26" t="str">
        <x:v>KNO-10</x:v>
      </x:c>
      <x:c r="B112" s="26" t="str">
        <x:v>KNO</x:v>
      </x:c>
      <x:c r="C112" s="26" t="str">
        <x:v>Feedback and knowledge gaps</x:v>
      </x:c>
      <x:c r="D112" s="26" t="str">
        <x:v>SHOULD</x:v>
      </x:c>
      <x:c r="E112" s="26" t="str">
        <x:v>ENTERPRISE</x:v>
      </x:c>
      <x:c r="F112" s="26" t="str">
        <x:v>R15</x:v>
      </x:c>
      <x:c r="G112" s="26" t="str">
        <x:v>R30, R29, R34</x:v>
      </x:c>
      <x:c r="H112" s="26" t="str">
        <x:v>R40</x:v>
      </x:c>
      <x:c r="I112" s="26" t="str">
        <x:v>R19 / R40</x:v>
      </x:c>
      <x:c r="J112" s="26" t="str">
        <x:v>Not started</x:v>
      </x:c>
      <x:c r="K112" s="26" t="str"/>
      <x:c r="L112" s="26" t="str">
        <x:v>High</x:v>
      </x:c>
    </x:row>
    <x:row r="113" ht="51" customHeight="1">
      <x:c r="A113" s="26" t="str">
        <x:v>KNO-11</x:v>
      </x:c>
      <x:c r="B113" s="26" t="str">
        <x:v>KNO</x:v>
      </x:c>
      <x:c r="C113" s="26" t="str">
        <x:v>Decision register</x:v>
      </x:c>
      <x:c r="D113" s="26" t="str">
        <x:v>SHOULD</x:v>
      </x:c>
      <x:c r="E113" s="26" t="str">
        <x:v>ENTERPRISE</x:v>
      </x:c>
      <x:c r="F113" s="26" t="str">
        <x:v>R15</x:v>
      </x:c>
      <x:c r="G113" s="26" t="str">
        <x:v>R30, R29, R34</x:v>
      </x:c>
      <x:c r="H113" s="26" t="str">
        <x:v>R40</x:v>
      </x:c>
      <x:c r="I113" s="26" t="str">
        <x:v>R19 / R40</x:v>
      </x:c>
      <x:c r="J113" s="26" t="str">
        <x:v>Not started</x:v>
      </x:c>
      <x:c r="K113" s="26" t="str"/>
      <x:c r="L113" s="26" t="str">
        <x:v>High</x:v>
      </x:c>
    </x:row>
    <x:row r="114" ht="51" customHeight="1">
      <x:c r="A114" s="26" t="str">
        <x:v>KNO-12</x:v>
      </x:c>
      <x:c r="B114" s="26" t="str">
        <x:v>KNO</x:v>
      </x:c>
      <x:c r="C114" s="26" t="str">
        <x:v>Process and policy maps</x:v>
      </x:c>
      <x:c r="D114" s="26" t="str">
        <x:v>ADVANCED</x:v>
      </x:c>
      <x:c r="E114" s="26" t="str">
        <x:v>EXPANSION</x:v>
      </x:c>
      <x:c r="F114" s="26" t="str">
        <x:v>R15</x:v>
      </x:c>
      <x:c r="G114" s="26" t="str">
        <x:v>R30, R29, R34</x:v>
      </x:c>
      <x:c r="H114" s="26" t="str">
        <x:v>R40</x:v>
      </x:c>
      <x:c r="I114" s="26" t="str">
        <x:v>R19 / R40</x:v>
      </x:c>
      <x:c r="J114" s="26" t="str">
        <x:v>Not started</x:v>
      </x:c>
      <x:c r="K114" s="26" t="str"/>
      <x:c r="L114" s="26" t="str">
        <x:v>High</x:v>
      </x:c>
    </x:row>
    <x:row r="115" ht="51" customHeight="1">
      <x:c r="A115" s="26" t="str">
        <x:v>KNO-13</x:v>
      </x:c>
      <x:c r="B115" s="26" t="str">
        <x:v>KNO</x:v>
      </x:c>
      <x:c r="C115" s="26" t="str">
        <x:v>Knowledge lifecycle</x:v>
      </x:c>
      <x:c r="D115" s="26" t="str">
        <x:v>MUST</x:v>
      </x:c>
      <x:c r="E115" s="26" t="str">
        <x:v>CORE</x:v>
      </x:c>
      <x:c r="F115" s="26" t="str">
        <x:v>R15</x:v>
      </x:c>
      <x:c r="G115" s="26" t="str">
        <x:v>R30, R29, R34</x:v>
      </x:c>
      <x:c r="H115" s="26" t="str">
        <x:v>R40</x:v>
      </x:c>
      <x:c r="I115" s="26" t="str">
        <x:v>R19 / R40</x:v>
      </x:c>
      <x:c r="J115" s="26" t="str">
        <x:v>Not started</x:v>
      </x:c>
      <x:c r="K115" s="26" t="str"/>
      <x:c r="L115" s="26" t="str">
        <x:v>High</x:v>
      </x:c>
    </x:row>
    <x:row r="116" ht="51" customHeight="1">
      <x:c r="A116" s="26" t="str">
        <x:v>KNO-14</x:v>
      </x:c>
      <x:c r="B116" s="26" t="str">
        <x:v>KNO</x:v>
      </x:c>
      <x:c r="C116" s="26" t="str">
        <x:v>Multilingual knowledge variants</x:v>
      </x:c>
      <x:c r="D116" s="26" t="str">
        <x:v>SHOULD</x:v>
      </x:c>
      <x:c r="E116" s="26" t="str">
        <x:v>ENTERPRISE</x:v>
      </x:c>
      <x:c r="F116" s="26" t="str">
        <x:v>R15</x:v>
      </x:c>
      <x:c r="G116" s="26" t="str">
        <x:v>R30, R29, R34</x:v>
      </x:c>
      <x:c r="H116" s="26" t="str">
        <x:v>R40</x:v>
      </x:c>
      <x:c r="I116" s="26" t="str">
        <x:v>R19 / R40</x:v>
      </x:c>
      <x:c r="J116" s="26" t="str">
        <x:v>Not started</x:v>
      </x:c>
      <x:c r="K116" s="26" t="str"/>
      <x:c r="L116" s="26" t="str">
        <x:v>High</x:v>
      </x:c>
    </x:row>
    <x:row r="117" ht="51" customHeight="1">
      <x:c r="A117" s="26" t="str">
        <x:v>KNO-15</x:v>
      </x:c>
      <x:c r="B117" s="26" t="str">
        <x:v>KNO</x:v>
      </x:c>
      <x:c r="C117" s="26" t="str">
        <x:v>Audience-tailored homepages</x:v>
      </x:c>
      <x:c r="D117" s="26" t="str">
        <x:v>SHOULD</x:v>
      </x:c>
      <x:c r="E117" s="26" t="str">
        <x:v>ENTERPRISE</x:v>
      </x:c>
      <x:c r="F117" s="26" t="str">
        <x:v>R15</x:v>
      </x:c>
      <x:c r="G117" s="26" t="str">
        <x:v>R30, R29, R34</x:v>
      </x:c>
      <x:c r="H117" s="26" t="str">
        <x:v>R40</x:v>
      </x:c>
      <x:c r="I117" s="26" t="str">
        <x:v>R19 / R40</x:v>
      </x:c>
      <x:c r="J117" s="26" t="str">
        <x:v>Not started</x:v>
      </x:c>
      <x:c r="K117" s="26" t="str"/>
      <x:c r="L117" s="26" t="str">
        <x:v>High</x:v>
      </x:c>
    </x:row>
    <x:row r="118" ht="51" customHeight="1">
      <x:c r="A118" s="26" t="str">
        <x:v>KNO-16</x:v>
      </x:c>
      <x:c r="B118" s="26" t="str">
        <x:v>KNO</x:v>
      </x:c>
      <x:c r="C118" s="26" t="str">
        <x:v>Knowledge content health</x:v>
      </x:c>
      <x:c r="D118" s="26" t="str">
        <x:v>SHOULD</x:v>
      </x:c>
      <x:c r="E118" s="26" t="str">
        <x:v>ENTERPRISE</x:v>
      </x:c>
      <x:c r="F118" s="26" t="str">
        <x:v>R15</x:v>
      </x:c>
      <x:c r="G118" s="26" t="str">
        <x:v>R30, R29, R34</x:v>
      </x:c>
      <x:c r="H118" s="26" t="str">
        <x:v>R40</x:v>
      </x:c>
      <x:c r="I118" s="26" t="str">
        <x:v>R19 / R40</x:v>
      </x:c>
      <x:c r="J118" s="26" t="str">
        <x:v>Not started</x:v>
      </x:c>
      <x:c r="K118" s="26" t="str"/>
      <x:c r="L118" s="26" t="str">
        <x:v>High</x:v>
      </x:c>
    </x:row>
    <x:row r="119" ht="51" customHeight="1">
      <x:c r="A119" s="26" t="str">
        <x:v>WFL-01</x:v>
      </x:c>
      <x:c r="B119" s="26" t="str">
        <x:v>WFL</x:v>
      </x:c>
      <x:c r="C119" s="26" t="str">
        <x:v>Visual workflow builder</x:v>
      </x:c>
      <x:c r="D119" s="26" t="str">
        <x:v>SHOULD</x:v>
      </x:c>
      <x:c r="E119" s="26" t="str">
        <x:v>ENTERPRISE</x:v>
      </x:c>
      <x:c r="F119" s="26" t="str">
        <x:v>R03</x:v>
      </x:c>
      <x:c r="G119" s="26" t="str">
        <x:v>R33, R29, R30</x:v>
      </x:c>
      <x:c r="H119" s="26" t="str">
        <x:v>R40</x:v>
      </x:c>
      <x:c r="I119" s="26" t="str">
        <x:v>R19 / R40</x:v>
      </x:c>
      <x:c r="J119" s="26" t="str">
        <x:v>Not started</x:v>
      </x:c>
      <x:c r="K119" s="26" t="str"/>
      <x:c r="L119" s="26" t="str">
        <x:v>High</x:v>
      </x:c>
    </x:row>
    <x:row r="120" ht="51" customHeight="1">
      <x:c r="A120" s="26" t="str">
        <x:v>WFL-02</x:v>
      </x:c>
      <x:c r="B120" s="26" t="str">
        <x:v>WFL</x:v>
      </x:c>
      <x:c r="C120" s="26" t="str">
        <x:v>Sequential and parallel approvals</x:v>
      </x:c>
      <x:c r="D120" s="26" t="str">
        <x:v>MUST</x:v>
      </x:c>
      <x:c r="E120" s="26" t="str">
        <x:v>CORE</x:v>
      </x:c>
      <x:c r="F120" s="26" t="str">
        <x:v>R03</x:v>
      </x:c>
      <x:c r="G120" s="26" t="str">
        <x:v>R33, R29, R30</x:v>
      </x:c>
      <x:c r="H120" s="26" t="str">
        <x:v>R40</x:v>
      </x:c>
      <x:c r="I120" s="26" t="str">
        <x:v>R19 / R40</x:v>
      </x:c>
      <x:c r="J120" s="26" t="str">
        <x:v>Not started</x:v>
      </x:c>
      <x:c r="K120" s="26" t="str"/>
      <x:c r="L120" s="26" t="str">
        <x:v>High</x:v>
      </x:c>
    </x:row>
    <x:row r="121" ht="51" customHeight="1">
      <x:c r="A121" s="26" t="str">
        <x:v>WFL-03</x:v>
      </x:c>
      <x:c r="B121" s="26" t="str">
        <x:v>WFL</x:v>
      </x:c>
      <x:c r="C121" s="26" t="str">
        <x:v>Conditional routing</x:v>
      </x:c>
      <x:c r="D121" s="26" t="str">
        <x:v>SHOULD</x:v>
      </x:c>
      <x:c r="E121" s="26" t="str">
        <x:v>ENTERPRISE</x:v>
      </x:c>
      <x:c r="F121" s="26" t="str">
        <x:v>R03</x:v>
      </x:c>
      <x:c r="G121" s="26" t="str">
        <x:v>R33, R29, R30</x:v>
      </x:c>
      <x:c r="H121" s="26" t="str">
        <x:v>R40</x:v>
      </x:c>
      <x:c r="I121" s="26" t="str">
        <x:v>R19 / R40</x:v>
      </x:c>
      <x:c r="J121" s="26" t="str">
        <x:v>Not started</x:v>
      </x:c>
      <x:c r="K121" s="26" t="str"/>
      <x:c r="L121" s="26" t="str">
        <x:v>High</x:v>
      </x:c>
    </x:row>
    <x:row r="122" ht="51" customHeight="1">
      <x:c r="A122" s="26" t="str">
        <x:v>WFL-04</x:v>
      </x:c>
      <x:c r="B122" s="26" t="str">
        <x:v>WFL</x:v>
      </x:c>
      <x:c r="C122" s="26" t="str">
        <x:v>Approval policy templates</x:v>
      </x:c>
      <x:c r="D122" s="26" t="str">
        <x:v>SHOULD</x:v>
      </x:c>
      <x:c r="E122" s="26" t="str">
        <x:v>ENTERPRISE</x:v>
      </x:c>
      <x:c r="F122" s="26" t="str">
        <x:v>R03</x:v>
      </x:c>
      <x:c r="G122" s="26" t="str">
        <x:v>R33, R29, R30</x:v>
      </x:c>
      <x:c r="H122" s="26" t="str">
        <x:v>R40</x:v>
      </x:c>
      <x:c r="I122" s="26" t="str">
        <x:v>R19 / R40</x:v>
      </x:c>
      <x:c r="J122" s="26" t="str">
        <x:v>Not started</x:v>
      </x:c>
      <x:c r="K122" s="26" t="str"/>
      <x:c r="L122" s="26" t="str">
        <x:v>High</x:v>
      </x:c>
    </x:row>
    <x:row r="123" ht="51" customHeight="1">
      <x:c r="A123" s="26" t="str">
        <x:v>WFL-05</x:v>
      </x:c>
      <x:c r="B123" s="26" t="str">
        <x:v>WFL</x:v>
      </x:c>
      <x:c r="C123" s="26" t="str">
        <x:v>Task inbox and assignment</x:v>
      </x:c>
      <x:c r="D123" s="26" t="str">
        <x:v>MUST</x:v>
      </x:c>
      <x:c r="E123" s="26" t="str">
        <x:v>CORE</x:v>
      </x:c>
      <x:c r="F123" s="26" t="str">
        <x:v>R03</x:v>
      </x:c>
      <x:c r="G123" s="26" t="str">
        <x:v>R33, R29, R30</x:v>
      </x:c>
      <x:c r="H123" s="26" t="str">
        <x:v>R40</x:v>
      </x:c>
      <x:c r="I123" s="26" t="str">
        <x:v>R19 / R40</x:v>
      </x:c>
      <x:c r="J123" s="26" t="str">
        <x:v>Not started</x:v>
      </x:c>
      <x:c r="K123" s="26" t="str"/>
      <x:c r="L123" s="26" t="str">
        <x:v>High</x:v>
      </x:c>
    </x:row>
    <x:row r="124" ht="51" customHeight="1">
      <x:c r="A124" s="26" t="str">
        <x:v>WFL-06</x:v>
      </x:c>
      <x:c r="B124" s="26" t="str">
        <x:v>WFL</x:v>
      </x:c>
      <x:c r="C124" s="26" t="str">
        <x:v>Deadline, SLA and escalation</x:v>
      </x:c>
      <x:c r="D124" s="26" t="str">
        <x:v>SHOULD</x:v>
      </x:c>
      <x:c r="E124" s="26" t="str">
        <x:v>ENTERPRISE</x:v>
      </x:c>
      <x:c r="F124" s="26" t="str">
        <x:v>R03</x:v>
      </x:c>
      <x:c r="G124" s="26" t="str">
        <x:v>R33, R29, R30</x:v>
      </x:c>
      <x:c r="H124" s="26" t="str">
        <x:v>R40</x:v>
      </x:c>
      <x:c r="I124" s="26" t="str">
        <x:v>R19 / R40</x:v>
      </x:c>
      <x:c r="J124" s="26" t="str">
        <x:v>Not started</x:v>
      </x:c>
      <x:c r="K124" s="26" t="str"/>
      <x:c r="L124" s="26" t="str">
        <x:v>High</x:v>
      </x:c>
    </x:row>
    <x:row r="125" ht="51" customHeight="1">
      <x:c r="A125" s="26" t="str">
        <x:v>WFL-07</x:v>
      </x:c>
      <x:c r="B125" s="26" t="str">
        <x:v>WFL</x:v>
      </x:c>
      <x:c r="C125" s="26" t="str">
        <x:v>Approval evidence capture</x:v>
      </x:c>
      <x:c r="D125" s="26" t="str">
        <x:v>MUST</x:v>
      </x:c>
      <x:c r="E125" s="26" t="str">
        <x:v>CORE</x:v>
      </x:c>
      <x:c r="F125" s="26" t="str">
        <x:v>R03</x:v>
      </x:c>
      <x:c r="G125" s="26" t="str">
        <x:v>R33, R29, R30</x:v>
      </x:c>
      <x:c r="H125" s="26" t="str">
        <x:v>R40</x:v>
      </x:c>
      <x:c r="I125" s="26" t="str">
        <x:v>R19 / R40</x:v>
      </x:c>
      <x:c r="J125" s="26" t="str">
        <x:v>Not started</x:v>
      </x:c>
      <x:c r="K125" s="26" t="str"/>
      <x:c r="L125" s="26" t="str">
        <x:v>High</x:v>
      </x:c>
    </x:row>
    <x:row r="126" ht="51" customHeight="1">
      <x:c r="A126" s="26" t="str">
        <x:v>WFL-08</x:v>
      </x:c>
      <x:c r="B126" s="26" t="str">
        <x:v>WFL</x:v>
      </x:c>
      <x:c r="C126" s="26" t="str">
        <x:v>Workflow delegation and substitutes</x:v>
      </x:c>
      <x:c r="D126" s="26" t="str">
        <x:v>SHOULD</x:v>
      </x:c>
      <x:c r="E126" s="26" t="str">
        <x:v>ENTERPRISE</x:v>
      </x:c>
      <x:c r="F126" s="26" t="str">
        <x:v>R03</x:v>
      </x:c>
      <x:c r="G126" s="26" t="str">
        <x:v>R33, R29, R30</x:v>
      </x:c>
      <x:c r="H126" s="26" t="str">
        <x:v>R40</x:v>
      </x:c>
      <x:c r="I126" s="26" t="str">
        <x:v>R19 / R40</x:v>
      </x:c>
      <x:c r="J126" s="26" t="str">
        <x:v>Not started</x:v>
      </x:c>
      <x:c r="K126" s="26" t="str"/>
      <x:c r="L126" s="26" t="str">
        <x:v>High</x:v>
      </x:c>
    </x:row>
    <x:row r="127" ht="51" customHeight="1">
      <x:c r="A127" s="26" t="str">
        <x:v>WFL-09</x:v>
      </x:c>
      <x:c r="B127" s="26" t="str">
        <x:v>WFL</x:v>
      </x:c>
      <x:c r="C127" s="26" t="str">
        <x:v>Rejection and revision loops</x:v>
      </x:c>
      <x:c r="D127" s="26" t="str">
        <x:v>MUST</x:v>
      </x:c>
      <x:c r="E127" s="26" t="str">
        <x:v>CORE</x:v>
      </x:c>
      <x:c r="F127" s="26" t="str">
        <x:v>R03</x:v>
      </x:c>
      <x:c r="G127" s="26" t="str">
        <x:v>R33, R29, R30</x:v>
      </x:c>
      <x:c r="H127" s="26" t="str">
        <x:v>R40</x:v>
      </x:c>
      <x:c r="I127" s="26" t="str">
        <x:v>R19 / R40</x:v>
      </x:c>
      <x:c r="J127" s="26" t="str">
        <x:v>Not started</x:v>
      </x:c>
      <x:c r="K127" s="26" t="str"/>
      <x:c r="L127" s="26" t="str">
        <x:v>High</x:v>
      </x:c>
    </x:row>
    <x:row r="128" ht="51" customHeight="1">
      <x:c r="A128" s="26" t="str">
        <x:v>WFL-10</x:v>
      </x:c>
      <x:c r="B128" s="26" t="str">
        <x:v>WFL</x:v>
      </x:c>
      <x:c r="C128" s="26" t="str">
        <x:v>Automated metadata actions</x:v>
      </x:c>
      <x:c r="D128" s="26" t="str">
        <x:v>SHOULD</x:v>
      </x:c>
      <x:c r="E128" s="26" t="str">
        <x:v>ENTERPRISE</x:v>
      </x:c>
      <x:c r="F128" s="26" t="str">
        <x:v>R03</x:v>
      </x:c>
      <x:c r="G128" s="26" t="str">
        <x:v>R33, R29, R30</x:v>
      </x:c>
      <x:c r="H128" s="26" t="str">
        <x:v>R40</x:v>
      </x:c>
      <x:c r="I128" s="26" t="str">
        <x:v>R19 / R40</x:v>
      </x:c>
      <x:c r="J128" s="26" t="str">
        <x:v>Not started</x:v>
      </x:c>
      <x:c r="K128" s="26" t="str"/>
      <x:c r="L128" s="26" t="str">
        <x:v>High</x:v>
      </x:c>
    </x:row>
    <x:row r="129" ht="51" customHeight="1">
      <x:c r="A129" s="26" t="str">
        <x:v>WFL-11</x:v>
      </x:c>
      <x:c r="B129" s="26" t="str">
        <x:v>WFL</x:v>
      </x:c>
      <x:c r="C129" s="26" t="str">
        <x:v>Webhook and connector actions</x:v>
      </x:c>
      <x:c r="D129" s="26" t="str">
        <x:v>SHOULD</x:v>
      </x:c>
      <x:c r="E129" s="26" t="str">
        <x:v>ENTERPRISE</x:v>
      </x:c>
      <x:c r="F129" s="26" t="str">
        <x:v>R03</x:v>
      </x:c>
      <x:c r="G129" s="26" t="str">
        <x:v>R33, R29, R30</x:v>
      </x:c>
      <x:c r="H129" s="26" t="str">
        <x:v>R40</x:v>
      </x:c>
      <x:c r="I129" s="26" t="str">
        <x:v>R19 / R40</x:v>
      </x:c>
      <x:c r="J129" s="26" t="str">
        <x:v>Not started</x:v>
      </x:c>
      <x:c r="K129" s="26" t="str"/>
      <x:c r="L129" s="26" t="str">
        <x:v>High</x:v>
      </x:c>
    </x:row>
    <x:row r="130" ht="51" customHeight="1">
      <x:c r="A130" s="26" t="str">
        <x:v>WFL-12</x:v>
      </x:c>
      <x:c r="B130" s="26" t="str">
        <x:v>WFL</x:v>
      </x:c>
      <x:c r="C130" s="26" t="str">
        <x:v>Workflow monitoring</x:v>
      </x:c>
      <x:c r="D130" s="26" t="str">
        <x:v>SHOULD</x:v>
      </x:c>
      <x:c r="E130" s="26" t="str">
        <x:v>ENTERPRISE</x:v>
      </x:c>
      <x:c r="F130" s="26" t="str">
        <x:v>R03</x:v>
      </x:c>
      <x:c r="G130" s="26" t="str">
        <x:v>R33, R29, R30</x:v>
      </x:c>
      <x:c r="H130" s="26" t="str">
        <x:v>R40</x:v>
      </x:c>
      <x:c r="I130" s="26" t="str">
        <x:v>R19 / R40</x:v>
      </x:c>
      <x:c r="J130" s="26" t="str">
        <x:v>Not started</x:v>
      </x:c>
      <x:c r="K130" s="26" t="str"/>
      <x:c r="L130" s="26" t="str">
        <x:v>High</x:v>
      </x:c>
    </x:row>
    <x:row r="131" ht="51" customHeight="1">
      <x:c r="A131" s="26" t="str">
        <x:v>WFL-13</x:v>
      </x:c>
      <x:c r="B131" s="26" t="str">
        <x:v>WFL</x:v>
      </x:c>
      <x:c r="C131" s="26" t="str">
        <x:v>Bulk approval controls</x:v>
      </x:c>
      <x:c r="D131" s="26" t="str">
        <x:v>ADVANCED</x:v>
      </x:c>
      <x:c r="E131" s="26" t="str">
        <x:v>EXPANSION</x:v>
      </x:c>
      <x:c r="F131" s="26" t="str">
        <x:v>R03</x:v>
      </x:c>
      <x:c r="G131" s="26" t="str">
        <x:v>R33, R29, R30</x:v>
      </x:c>
      <x:c r="H131" s="26" t="str">
        <x:v>R40</x:v>
      </x:c>
      <x:c r="I131" s="26" t="str">
        <x:v>R19 / R40</x:v>
      </x:c>
      <x:c r="J131" s="26" t="str">
        <x:v>Not started</x:v>
      </x:c>
      <x:c r="K131" s="26" t="str"/>
      <x:c r="L131" s="26" t="str">
        <x:v>High</x:v>
      </x:c>
    </x:row>
    <x:row r="132" ht="51" customHeight="1">
      <x:c r="A132" s="26" t="str">
        <x:v>WFL-14</x:v>
      </x:c>
      <x:c r="B132" s="26" t="str">
        <x:v>WFL</x:v>
      </x:c>
      <x:c r="C132" s="26" t="str">
        <x:v>Digital signature integrations</x:v>
      </x:c>
      <x:c r="D132" s="26" t="str">
        <x:v>SHOULD</x:v>
      </x:c>
      <x:c r="E132" s="26" t="str">
        <x:v>ENTERPRISE</x:v>
      </x:c>
      <x:c r="F132" s="26" t="str">
        <x:v>R03</x:v>
      </x:c>
      <x:c r="G132" s="26" t="str">
        <x:v>R33, R29, R30</x:v>
      </x:c>
      <x:c r="H132" s="26" t="str">
        <x:v>R40</x:v>
      </x:c>
      <x:c r="I132" s="26" t="str">
        <x:v>R19 / R40</x:v>
      </x:c>
      <x:c r="J132" s="26" t="str">
        <x:v>Not started</x:v>
      </x:c>
      <x:c r="K132" s="26" t="str"/>
      <x:c r="L132" s="26" t="str">
        <x:v>High</x:v>
      </x:c>
    </x:row>
    <x:row r="133" ht="51" customHeight="1">
      <x:c r="A133" s="26" t="str">
        <x:v>WFL-15</x:v>
      </x:c>
      <x:c r="B133" s="26" t="str">
        <x:v>WFL</x:v>
      </x:c>
      <x:c r="C133" s="26" t="str">
        <x:v>Forms and intake portals</x:v>
      </x:c>
      <x:c r="D133" s="26" t="str">
        <x:v>SHOULD</x:v>
      </x:c>
      <x:c r="E133" s="26" t="str">
        <x:v>ENTERPRISE</x:v>
      </x:c>
      <x:c r="F133" s="26" t="str">
        <x:v>R03</x:v>
      </x:c>
      <x:c r="G133" s="26" t="str">
        <x:v>R33, R29, R30</x:v>
      </x:c>
      <x:c r="H133" s="26" t="str">
        <x:v>R40</x:v>
      </x:c>
      <x:c r="I133" s="26" t="str">
        <x:v>R19 / R40</x:v>
      </x:c>
      <x:c r="J133" s="26" t="str">
        <x:v>Not started</x:v>
      </x:c>
      <x:c r="K133" s="26" t="str"/>
      <x:c r="L133" s="26" t="str">
        <x:v>High</x:v>
      </x:c>
    </x:row>
    <x:row r="134" ht="51" customHeight="1">
      <x:c r="A134" s="26" t="str">
        <x:v>WFL-16</x:v>
      </x:c>
      <x:c r="B134" s="26" t="str">
        <x:v>WFL</x:v>
      </x:c>
      <x:c r="C134" s="26" t="str">
        <x:v>Case and project workflows</x:v>
      </x:c>
      <x:c r="D134" s="26" t="str">
        <x:v>SHOULD</x:v>
      </x:c>
      <x:c r="E134" s="26" t="str">
        <x:v>ENTERPRISE</x:v>
      </x:c>
      <x:c r="F134" s="26" t="str">
        <x:v>R03</x:v>
      </x:c>
      <x:c r="G134" s="26" t="str">
        <x:v>R33, R29, R30</x:v>
      </x:c>
      <x:c r="H134" s="26" t="str">
        <x:v>R40</x:v>
      </x:c>
      <x:c r="I134" s="26" t="str">
        <x:v>R19 / R40</x:v>
      </x:c>
      <x:c r="J134" s="26" t="str">
        <x:v>Not started</x:v>
      </x:c>
      <x:c r="K134" s="26" t="str"/>
      <x:c r="L134" s="26" t="str">
        <x:v>High</x:v>
      </x:c>
    </x:row>
    <x:row r="135" ht="51" customHeight="1">
      <x:c r="A135" s="26" t="str">
        <x:v>WFL-17</x:v>
      </x:c>
      <x:c r="B135" s="26" t="str">
        <x:v>WFL</x:v>
      </x:c>
      <x:c r="C135" s="26" t="str">
        <x:v>Process analytics and improvement</x:v>
      </x:c>
      <x:c r="D135" s="26" t="str">
        <x:v>ADVANCED</x:v>
      </x:c>
      <x:c r="E135" s="26" t="str">
        <x:v>EXPANSION</x:v>
      </x:c>
      <x:c r="F135" s="26" t="str">
        <x:v>R03</x:v>
      </x:c>
      <x:c r="G135" s="26" t="str">
        <x:v>R33, R29, R30</x:v>
      </x:c>
      <x:c r="H135" s="26" t="str">
        <x:v>R40</x:v>
      </x:c>
      <x:c r="I135" s="26" t="str">
        <x:v>R19 / R40</x:v>
      </x:c>
      <x:c r="J135" s="26" t="str">
        <x:v>Not started</x:v>
      </x:c>
      <x:c r="K135" s="26" t="str"/>
      <x:c r="L135" s="26" t="str">
        <x:v>High</x:v>
      </x:c>
    </x:row>
    <x:row r="136" ht="51" customHeight="1">
      <x:c r="A136" s="26" t="str">
        <x:v>WFL-18</x:v>
      </x:c>
      <x:c r="B136" s="26" t="str">
        <x:v>WFL</x:v>
      </x:c>
      <x:c r="C136" s="26" t="str">
        <x:v>Rule testing and simulation</x:v>
      </x:c>
      <x:c r="D136" s="26" t="str">
        <x:v>SHOULD</x:v>
      </x:c>
      <x:c r="E136" s="26" t="str">
        <x:v>ENTERPRISE</x:v>
      </x:c>
      <x:c r="F136" s="26" t="str">
        <x:v>R03</x:v>
      </x:c>
      <x:c r="G136" s="26" t="str">
        <x:v>R33, R29, R30</x:v>
      </x:c>
      <x:c r="H136" s="26" t="str">
        <x:v>R40</x:v>
      </x:c>
      <x:c r="I136" s="26" t="str">
        <x:v>R19 / R40</x:v>
      </x:c>
      <x:c r="J136" s="26" t="str">
        <x:v>Not started</x:v>
      </x:c>
      <x:c r="K136" s="26" t="str"/>
      <x:c r="L136" s="26" t="str">
        <x:v>High</x:v>
      </x:c>
    </x:row>
    <x:row r="137" ht="51" customHeight="1">
      <x:c r="A137" s="26" t="str">
        <x:v>WFL-19</x:v>
      </x:c>
      <x:c r="B137" s="26" t="str">
        <x:v>WFL</x:v>
      </x:c>
      <x:c r="C137" s="26" t="str">
        <x:v>Policy exception workflow</x:v>
      </x:c>
      <x:c r="D137" s="26" t="str">
        <x:v>SHOULD</x:v>
      </x:c>
      <x:c r="E137" s="26" t="str">
        <x:v>ENTERPRISE</x:v>
      </x:c>
      <x:c r="F137" s="26" t="str">
        <x:v>R03</x:v>
      </x:c>
      <x:c r="G137" s="26" t="str">
        <x:v>R33, R29, R30</x:v>
      </x:c>
      <x:c r="H137" s="26" t="str">
        <x:v>R40</x:v>
      </x:c>
      <x:c r="I137" s="26" t="str">
        <x:v>R19 / R40</x:v>
      </x:c>
      <x:c r="J137" s="26" t="str">
        <x:v>Not started</x:v>
      </x:c>
      <x:c r="K137" s="26" t="str"/>
      <x:c r="L137" s="26" t="str">
        <x:v>High</x:v>
      </x:c>
    </x:row>
    <x:row r="138" ht="51" customHeight="1">
      <x:c r="A138" s="26" t="str">
        <x:v>REC-01</x:v>
      </x:c>
      <x:c r="B138" s="26" t="str">
        <x:v>REC</x:v>
      </x:c>
      <x:c r="C138" s="26" t="str">
        <x:v>Records classification and file plan</x:v>
      </x:c>
      <x:c r="D138" s="26" t="str">
        <x:v>MUST</x:v>
      </x:c>
      <x:c r="E138" s="26" t="str">
        <x:v>CORE</x:v>
      </x:c>
      <x:c r="F138" s="26" t="str">
        <x:v>R12</x:v>
      </x:c>
      <x:c r="G138" s="26" t="str">
        <x:v>R29, R31, R32</x:v>
      </x:c>
      <x:c r="H138" s="26" t="str">
        <x:v>R40</x:v>
      </x:c>
      <x:c r="I138" s="26" t="str">
        <x:v>R25</x:v>
      </x:c>
      <x:c r="J138" s="26" t="str">
        <x:v>Not started</x:v>
      </x:c>
      <x:c r="K138" s="26" t="str"/>
      <x:c r="L138" s="26" t="str">
        <x:v>Critical</x:v>
      </x:c>
    </x:row>
    <x:row r="139" ht="51" customHeight="1">
      <x:c r="A139" s="26" t="str">
        <x:v>REC-02</x:v>
      </x:c>
      <x:c r="B139" s="26" t="str">
        <x:v>REC</x:v>
      </x:c>
      <x:c r="C139" s="26" t="str">
        <x:v>Record declaration and immutability</x:v>
      </x:c>
      <x:c r="D139" s="26" t="str">
        <x:v>MUST</x:v>
      </x:c>
      <x:c r="E139" s="26" t="str">
        <x:v>CORE</x:v>
      </x:c>
      <x:c r="F139" s="26" t="str">
        <x:v>R12</x:v>
      </x:c>
      <x:c r="G139" s="26" t="str">
        <x:v>R29, R31, R32</x:v>
      </x:c>
      <x:c r="H139" s="26" t="str">
        <x:v>R40</x:v>
      </x:c>
      <x:c r="I139" s="26" t="str">
        <x:v>R25</x:v>
      </x:c>
      <x:c r="J139" s="26" t="str">
        <x:v>Not started</x:v>
      </x:c>
      <x:c r="K139" s="26" t="str"/>
      <x:c r="L139" s="26" t="str">
        <x:v>Critical</x:v>
      </x:c>
    </x:row>
    <x:row r="140" ht="51" customHeight="1">
      <x:c r="A140" s="26" t="str">
        <x:v>REC-03</x:v>
      </x:c>
      <x:c r="B140" s="26" t="str">
        <x:v>REC</x:v>
      </x:c>
      <x:c r="C140" s="26" t="str">
        <x:v>Event-based retention</x:v>
      </x:c>
      <x:c r="D140" s="26" t="str">
        <x:v>SHOULD</x:v>
      </x:c>
      <x:c r="E140" s="26" t="str">
        <x:v>ENTERPRISE</x:v>
      </x:c>
      <x:c r="F140" s="26" t="str">
        <x:v>R12</x:v>
      </x:c>
      <x:c r="G140" s="26" t="str">
        <x:v>R29, R31, R32</x:v>
      </x:c>
      <x:c r="H140" s="26" t="str">
        <x:v>R40</x:v>
      </x:c>
      <x:c r="I140" s="26" t="str">
        <x:v>R25</x:v>
      </x:c>
      <x:c r="J140" s="26" t="str">
        <x:v>Not started</x:v>
      </x:c>
      <x:c r="K140" s="26" t="str"/>
      <x:c r="L140" s="26" t="str">
        <x:v>Critical</x:v>
      </x:c>
    </x:row>
    <x:row r="141" ht="51" customHeight="1">
      <x:c r="A141" s="26" t="str">
        <x:v>REC-04</x:v>
      </x:c>
      <x:c r="B141" s="26" t="str">
        <x:v>REC</x:v>
      </x:c>
      <x:c r="C141" s="26" t="str">
        <x:v>Multiple overlapping policies</x:v>
      </x:c>
      <x:c r="D141" s="26" t="str">
        <x:v>MUST</x:v>
      </x:c>
      <x:c r="E141" s="26" t="str">
        <x:v>CORE</x:v>
      </x:c>
      <x:c r="F141" s="26" t="str">
        <x:v>R12</x:v>
      </x:c>
      <x:c r="G141" s="26" t="str">
        <x:v>R29, R31, R32</x:v>
      </x:c>
      <x:c r="H141" s="26" t="str">
        <x:v>R40</x:v>
      </x:c>
      <x:c r="I141" s="26" t="str">
        <x:v>R25</x:v>
      </x:c>
      <x:c r="J141" s="26" t="str">
        <x:v>Not started</x:v>
      </x:c>
      <x:c r="K141" s="26" t="str"/>
      <x:c r="L141" s="26" t="str">
        <x:v>Critical</x:v>
      </x:c>
    </x:row>
    <x:row r="142" ht="51" customHeight="1">
      <x:c r="A142" s="26" t="str">
        <x:v>REC-05</x:v>
      </x:c>
      <x:c r="B142" s="26" t="str">
        <x:v>REC</x:v>
      </x:c>
      <x:c r="C142" s="26" t="str">
        <x:v>Litigation and investigation holds</x:v>
      </x:c>
      <x:c r="D142" s="26" t="str">
        <x:v>MUST</x:v>
      </x:c>
      <x:c r="E142" s="26" t="str">
        <x:v>CORE</x:v>
      </x:c>
      <x:c r="F142" s="26" t="str">
        <x:v>R12</x:v>
      </x:c>
      <x:c r="G142" s="26" t="str">
        <x:v>R29, R31, R32</x:v>
      </x:c>
      <x:c r="H142" s="26" t="str">
        <x:v>R40</x:v>
      </x:c>
      <x:c r="I142" s="26" t="str">
        <x:v>R25</x:v>
      </x:c>
      <x:c r="J142" s="26" t="str">
        <x:v>Not started</x:v>
      </x:c>
      <x:c r="K142" s="26" t="str"/>
      <x:c r="L142" s="26" t="str">
        <x:v>Critical</x:v>
      </x:c>
    </x:row>
    <x:row r="143" ht="51" customHeight="1">
      <x:c r="A143" s="26" t="str">
        <x:v>REC-06</x:v>
      </x:c>
      <x:c r="B143" s="26" t="str">
        <x:v>REC</x:v>
      </x:c>
      <x:c r="C143" s="26" t="str">
        <x:v>Legal hold notification and acknowledgment</x:v>
      </x:c>
      <x:c r="D143" s="26" t="str">
        <x:v>SHOULD</x:v>
      </x:c>
      <x:c r="E143" s="26" t="str">
        <x:v>ENTERPRISE</x:v>
      </x:c>
      <x:c r="F143" s="26" t="str">
        <x:v>R12</x:v>
      </x:c>
      <x:c r="G143" s="26" t="str">
        <x:v>R29, R31, R32</x:v>
      </x:c>
      <x:c r="H143" s="26" t="str">
        <x:v>R40</x:v>
      </x:c>
      <x:c r="I143" s="26" t="str">
        <x:v>R25</x:v>
      </x:c>
      <x:c r="J143" s="26" t="str">
        <x:v>Not started</x:v>
      </x:c>
      <x:c r="K143" s="26" t="str"/>
      <x:c r="L143" s="26" t="str">
        <x:v>Critical</x:v>
      </x:c>
    </x:row>
    <x:row r="144" ht="51" customHeight="1">
      <x:c r="A144" s="26" t="str">
        <x:v>REC-07</x:v>
      </x:c>
      <x:c r="B144" s="26" t="str">
        <x:v>REC</x:v>
      </x:c>
      <x:c r="C144" s="26" t="str">
        <x:v>Disposition review</x:v>
      </x:c>
      <x:c r="D144" s="26" t="str">
        <x:v>MUST</x:v>
      </x:c>
      <x:c r="E144" s="26" t="str">
        <x:v>CORE</x:v>
      </x:c>
      <x:c r="F144" s="26" t="str">
        <x:v>R12</x:v>
      </x:c>
      <x:c r="G144" s="26" t="str">
        <x:v>R29, R31, R32</x:v>
      </x:c>
      <x:c r="H144" s="26" t="str">
        <x:v>R40</x:v>
      </x:c>
      <x:c r="I144" s="26" t="str">
        <x:v>R25</x:v>
      </x:c>
      <x:c r="J144" s="26" t="str">
        <x:v>Not started</x:v>
      </x:c>
      <x:c r="K144" s="26" t="str"/>
      <x:c r="L144" s="26" t="str">
        <x:v>Critical</x:v>
      </x:c>
    </x:row>
    <x:row r="145" ht="51" customHeight="1">
      <x:c r="A145" s="26" t="str">
        <x:v>REC-08</x:v>
      </x:c>
      <x:c r="B145" s="26" t="str">
        <x:v>REC</x:v>
      </x:c>
      <x:c r="C145" s="26" t="str">
        <x:v>Disposition certificates</x:v>
      </x:c>
      <x:c r="D145" s="26" t="str">
        <x:v>SHOULD</x:v>
      </x:c>
      <x:c r="E145" s="26" t="str">
        <x:v>ENTERPRISE</x:v>
      </x:c>
      <x:c r="F145" s="26" t="str">
        <x:v>R12</x:v>
      </x:c>
      <x:c r="G145" s="26" t="str">
        <x:v>R29, R31, R32</x:v>
      </x:c>
      <x:c r="H145" s="26" t="str">
        <x:v>R40</x:v>
      </x:c>
      <x:c r="I145" s="26" t="str">
        <x:v>R25</x:v>
      </x:c>
      <x:c r="J145" s="26" t="str">
        <x:v>Not started</x:v>
      </x:c>
      <x:c r="K145" s="26" t="str"/>
      <x:c r="L145" s="26" t="str">
        <x:v>Critical</x:v>
      </x:c>
    </x:row>
    <x:row r="146" ht="51" customHeight="1">
      <x:c r="A146" s="26" t="str">
        <x:v>REC-09</x:v>
      </x:c>
      <x:c r="B146" s="26" t="str">
        <x:v>REC</x:v>
      </x:c>
      <x:c r="C146" s="26" t="str">
        <x:v>WORM or object-lock support</x:v>
      </x:c>
      <x:c r="D146" s="26" t="str">
        <x:v>SHOULD</x:v>
      </x:c>
      <x:c r="E146" s="26" t="str">
        <x:v>ENTERPRISE</x:v>
      </x:c>
      <x:c r="F146" s="26" t="str">
        <x:v>R12</x:v>
      </x:c>
      <x:c r="G146" s="26" t="str">
        <x:v>R29, R31, R32</x:v>
      </x:c>
      <x:c r="H146" s="26" t="str">
        <x:v>R40</x:v>
      </x:c>
      <x:c r="I146" s="26" t="str">
        <x:v>R25</x:v>
      </x:c>
      <x:c r="J146" s="26" t="str">
        <x:v>Not started</x:v>
      </x:c>
      <x:c r="K146" s="26" t="str"/>
      <x:c r="L146" s="26" t="str">
        <x:v>Critical</x:v>
      </x:c>
    </x:row>
    <x:row r="147" ht="51" customHeight="1">
      <x:c r="A147" s="26" t="str">
        <x:v>REC-10</x:v>
      </x:c>
      <x:c r="B147" s="26" t="str">
        <x:v>REC</x:v>
      </x:c>
      <x:c r="C147" s="26" t="str">
        <x:v>Retention clock simulation</x:v>
      </x:c>
      <x:c r="D147" s="26" t="str">
        <x:v>SHOULD</x:v>
      </x:c>
      <x:c r="E147" s="26" t="str">
        <x:v>ENTERPRISE</x:v>
      </x:c>
      <x:c r="F147" s="26" t="str">
        <x:v>R12</x:v>
      </x:c>
      <x:c r="G147" s="26" t="str">
        <x:v>R29, R31, R32</x:v>
      </x:c>
      <x:c r="H147" s="26" t="str">
        <x:v>R40</x:v>
      </x:c>
      <x:c r="I147" s="26" t="str">
        <x:v>R25</x:v>
      </x:c>
      <x:c r="J147" s="26" t="str">
        <x:v>Not started</x:v>
      </x:c>
      <x:c r="K147" s="26" t="str"/>
      <x:c r="L147" s="26" t="str">
        <x:v>Critical</x:v>
      </x:c>
    </x:row>
    <x:row r="148" ht="51" customHeight="1">
      <x:c r="A148" s="26" t="str">
        <x:v>REC-11</x:v>
      </x:c>
      <x:c r="B148" s="26" t="str">
        <x:v>REC</x:v>
      </x:c>
      <x:c r="C148" s="26" t="str">
        <x:v>Controlled archives</x:v>
      </x:c>
      <x:c r="D148" s="26" t="str">
        <x:v>SHOULD</x:v>
      </x:c>
      <x:c r="E148" s="26" t="str">
        <x:v>ENTERPRISE</x:v>
      </x:c>
      <x:c r="F148" s="26" t="str">
        <x:v>R12</x:v>
      </x:c>
      <x:c r="G148" s="26" t="str">
        <x:v>R29, R31, R32</x:v>
      </x:c>
      <x:c r="H148" s="26" t="str">
        <x:v>R40</x:v>
      </x:c>
      <x:c r="I148" s="26" t="str">
        <x:v>R25</x:v>
      </x:c>
      <x:c r="J148" s="26" t="str">
        <x:v>Not started</x:v>
      </x:c>
      <x:c r="K148" s="26" t="str"/>
      <x:c r="L148" s="26" t="str">
        <x:v>Critical</x:v>
      </x:c>
    </x:row>
    <x:row r="149" ht="51" customHeight="1">
      <x:c r="A149" s="26" t="str">
        <x:v>REC-12</x:v>
      </x:c>
      <x:c r="B149" s="26" t="str">
        <x:v>REC</x:v>
      </x:c>
      <x:c r="C149" s="26" t="str">
        <x:v>Legal case repository</x:v>
      </x:c>
      <x:c r="D149" s="26" t="str">
        <x:v>SHOULD</x:v>
      </x:c>
      <x:c r="E149" s="26" t="str">
        <x:v>ENTERPRISE</x:v>
      </x:c>
      <x:c r="F149" s="26" t="str">
        <x:v>R12</x:v>
      </x:c>
      <x:c r="G149" s="26" t="str">
        <x:v>R29, R31, R32</x:v>
      </x:c>
      <x:c r="H149" s="26" t="str">
        <x:v>R40</x:v>
      </x:c>
      <x:c r="I149" s="26" t="str">
        <x:v>R25</x:v>
      </x:c>
      <x:c r="J149" s="26" t="str">
        <x:v>Not started</x:v>
      </x:c>
      <x:c r="K149" s="26" t="str"/>
      <x:c r="L149" s="26" t="str">
        <x:v>Critical</x:v>
      </x:c>
    </x:row>
    <x:row r="150" ht="51" customHeight="1">
      <x:c r="A150" s="26" t="str">
        <x:v>REC-13</x:v>
      </x:c>
      <x:c r="B150" s="26" t="str">
        <x:v>REC</x:v>
      </x:c>
      <x:c r="C150" s="26" t="str">
        <x:v>Discovery search and exports</x:v>
      </x:c>
      <x:c r="D150" s="26" t="str">
        <x:v>SHOULD</x:v>
      </x:c>
      <x:c r="E150" s="26" t="str">
        <x:v>ENTERPRISE</x:v>
      </x:c>
      <x:c r="F150" s="26" t="str">
        <x:v>R12</x:v>
      </x:c>
      <x:c r="G150" s="26" t="str">
        <x:v>R29, R31, R32</x:v>
      </x:c>
      <x:c r="H150" s="26" t="str">
        <x:v>R40</x:v>
      </x:c>
      <x:c r="I150" s="26" t="str">
        <x:v>R25</x:v>
      </x:c>
      <x:c r="J150" s="26" t="str">
        <x:v>Not started</x:v>
      </x:c>
      <x:c r="K150" s="26" t="str"/>
      <x:c r="L150" s="26" t="str">
        <x:v>Critical</x:v>
      </x:c>
    </x:row>
    <x:row r="151" ht="51" customHeight="1">
      <x:c r="A151" s="26" t="str">
        <x:v>REC-14</x:v>
      </x:c>
      <x:c r="B151" s="26" t="str">
        <x:v>REC</x:v>
      </x:c>
      <x:c r="C151" s="26" t="str">
        <x:v>Chain of custody</x:v>
      </x:c>
      <x:c r="D151" s="26" t="str">
        <x:v>SHOULD</x:v>
      </x:c>
      <x:c r="E151" s="26" t="str">
        <x:v>ENTERPRISE</x:v>
      </x:c>
      <x:c r="F151" s="26" t="str">
        <x:v>R12</x:v>
      </x:c>
      <x:c r="G151" s="26" t="str">
        <x:v>R29, R31, R32</x:v>
      </x:c>
      <x:c r="H151" s="26" t="str">
        <x:v>R40</x:v>
      </x:c>
      <x:c r="I151" s="26" t="str">
        <x:v>R25</x:v>
      </x:c>
      <x:c r="J151" s="26" t="str">
        <x:v>Not started</x:v>
      </x:c>
      <x:c r="K151" s="26" t="str"/>
      <x:c r="L151" s="26" t="str">
        <x:v>Critical</x:v>
      </x:c>
    </x:row>
    <x:row r="152" ht="51" customHeight="1">
      <x:c r="A152" s="26" t="str">
        <x:v>REC-15</x:v>
      </x:c>
      <x:c r="B152" s="26" t="str">
        <x:v>REC</x:v>
      </x:c>
      <x:c r="C152" s="26" t="str">
        <x:v>Privacy deletion requests</x:v>
      </x:c>
      <x:c r="D152" s="26" t="str">
        <x:v>SHOULD</x:v>
      </x:c>
      <x:c r="E152" s="26" t="str">
        <x:v>ENTERPRISE</x:v>
      </x:c>
      <x:c r="F152" s="26" t="str">
        <x:v>R12</x:v>
      </x:c>
      <x:c r="G152" s="26" t="str">
        <x:v>R29, R31, R32</x:v>
      </x:c>
      <x:c r="H152" s="26" t="str">
        <x:v>R40</x:v>
      </x:c>
      <x:c r="I152" s="26" t="str">
        <x:v>R25</x:v>
      </x:c>
      <x:c r="J152" s="26" t="str">
        <x:v>Not started</x:v>
      </x:c>
      <x:c r="K152" s="26" t="str"/>
      <x:c r="L152" s="26" t="str">
        <x:v>Critical</x:v>
      </x:c>
    </x:row>
    <x:row r="153" ht="51" customHeight="1">
      <x:c r="A153" s="26" t="str">
        <x:v>REC-16</x:v>
      </x:c>
      <x:c r="B153" s="26" t="str">
        <x:v>REC</x:v>
      </x:c>
      <x:c r="C153" s="26" t="str">
        <x:v>Retention for comments, messages and AI artifacts</x:v>
      </x:c>
      <x:c r="D153" s="26" t="str">
        <x:v>SHOULD</x:v>
      </x:c>
      <x:c r="E153" s="26" t="str">
        <x:v>ENTERPRISE</x:v>
      </x:c>
      <x:c r="F153" s="26" t="str">
        <x:v>R12</x:v>
      </x:c>
      <x:c r="G153" s="26" t="str">
        <x:v>R29, R31, R32</x:v>
      </x:c>
      <x:c r="H153" s="26" t="str">
        <x:v>R40</x:v>
      </x:c>
      <x:c r="I153" s="26" t="str">
        <x:v>R25</x:v>
      </x:c>
      <x:c r="J153" s="26" t="str">
        <x:v>Not started</x:v>
      </x:c>
      <x:c r="K153" s="26" t="str"/>
      <x:c r="L153" s="26" t="str">
        <x:v>Critical</x:v>
      </x:c>
    </x:row>
    <x:row r="154" ht="51" customHeight="1">
      <x:c r="A154" s="26" t="str">
        <x:v>REC-17</x:v>
      </x:c>
      <x:c r="B154" s="26" t="str">
        <x:v>REC</x:v>
      </x:c>
      <x:c r="C154" s="26" t="str">
        <x:v>Paper and hybrid records</x:v>
      </x:c>
      <x:c r="D154" s="26" t="str">
        <x:v>ADVANCED</x:v>
      </x:c>
      <x:c r="E154" s="26" t="str">
        <x:v>EXPANSION</x:v>
      </x:c>
      <x:c r="F154" s="26" t="str">
        <x:v>R12</x:v>
      </x:c>
      <x:c r="G154" s="26" t="str">
        <x:v>R29, R31, R32</x:v>
      </x:c>
      <x:c r="H154" s="26" t="str">
        <x:v>R40</x:v>
      </x:c>
      <x:c r="I154" s="26" t="str">
        <x:v>R25</x:v>
      </x:c>
      <x:c r="J154" s="26" t="str">
        <x:v>Not started</x:v>
      </x:c>
      <x:c r="K154" s="26" t="str"/>
      <x:c r="L154" s="26" t="str">
        <x:v>Critical</x:v>
      </x:c>
    </x:row>
    <x:row r="155" ht="51" customHeight="1">
      <x:c r="A155" s="26" t="str">
        <x:v>REC-18</x:v>
      </x:c>
      <x:c r="B155" s="26" t="str">
        <x:v>REC</x:v>
      </x:c>
      <x:c r="C155" s="26" t="str">
        <x:v>Policy record registers</x:v>
      </x:c>
      <x:c r="D155" s="26" t="str">
        <x:v>SHOULD</x:v>
      </x:c>
      <x:c r="E155" s="26" t="str">
        <x:v>ENTERPRISE</x:v>
      </x:c>
      <x:c r="F155" s="26" t="str">
        <x:v>R12</x:v>
      </x:c>
      <x:c r="G155" s="26" t="str">
        <x:v>R29, R31, R32</x:v>
      </x:c>
      <x:c r="H155" s="26" t="str">
        <x:v>R40</x:v>
      </x:c>
      <x:c r="I155" s="26" t="str">
        <x:v>R25</x:v>
      </x:c>
      <x:c r="J155" s="26" t="str">
        <x:v>Not started</x:v>
      </x:c>
      <x:c r="K155" s="26" t="str"/>
      <x:c r="L155" s="26" t="str">
        <x:v>Critical</x:v>
      </x:c>
    </x:row>
    <x:row r="156" ht="51" customHeight="1">
      <x:c r="A156" s="26" t="str">
        <x:v>ENC-01</x:v>
      </x:c>
      <x:c r="B156" s="26" t="str">
        <x:v>ENC</x:v>
      </x:c>
      <x:c r="C156" s="26" t="str">
        <x:v>Two explicit confidentiality modes</x:v>
      </x:c>
      <x:c r="D156" s="26" t="str">
        <x:v>MUST</x:v>
      </x:c>
      <x:c r="E156" s="26" t="str">
        <x:v>CORE</x:v>
      </x:c>
      <x:c r="F156" s="26" t="str">
        <x:v>R20</x:v>
      </x:c>
      <x:c r="G156" s="26" t="str">
        <x:v>R37, R32, R29</x:v>
      </x:c>
      <x:c r="H156" s="26" t="str">
        <x:v>R40</x:v>
      </x:c>
      <x:c r="I156" s="26" t="str">
        <x:v>R25 + R24</x:v>
      </x:c>
      <x:c r="J156" s="26" t="str">
        <x:v>Not started</x:v>
      </x:c>
      <x:c r="K156" s="26" t="str"/>
      <x:c r="L156" s="26" t="str">
        <x:v>Critical</x:v>
      </x:c>
    </x:row>
    <x:row r="157" ht="51" customHeight="1">
      <x:c r="A157" s="26" t="str">
        <x:v>ENC-02</x:v>
      </x:c>
      <x:c r="B157" s="26" t="str">
        <x:v>ENC</x:v>
      </x:c>
      <x:c r="C157" s="26" t="str">
        <x:v>Trusted independent client</x:v>
      </x:c>
      <x:c r="D157" s="26" t="str">
        <x:v>MUST</x:v>
      </x:c>
      <x:c r="E157" s="26" t="str">
        <x:v>CORE</x:v>
      </x:c>
      <x:c r="F157" s="26" t="str">
        <x:v>R20</x:v>
      </x:c>
      <x:c r="G157" s="26" t="str">
        <x:v>R37, R32, R29</x:v>
      </x:c>
      <x:c r="H157" s="26" t="str">
        <x:v>R40</x:v>
      </x:c>
      <x:c r="I157" s="26" t="str">
        <x:v>R25 + R24</x:v>
      </x:c>
      <x:c r="J157" s="26" t="str">
        <x:v>Not started</x:v>
      </x:c>
      <x:c r="K157" s="26" t="str"/>
      <x:c r="L157" s="26" t="str">
        <x:v>Critical</x:v>
      </x:c>
    </x:row>
    <x:row r="158" ht="51" customHeight="1">
      <x:c r="A158" s="26" t="str">
        <x:v>ENC-03</x:v>
      </x:c>
      <x:c r="B158" s="26" t="str">
        <x:v>ENC</x:v>
      </x:c>
      <x:c r="C158" s="26" t="str">
        <x:v>Per-version data encryption keys</x:v>
      </x:c>
      <x:c r="D158" s="26" t="str">
        <x:v>MUST</x:v>
      </x:c>
      <x:c r="E158" s="26" t="str">
        <x:v>CORE</x:v>
      </x:c>
      <x:c r="F158" s="26" t="str">
        <x:v>R20</x:v>
      </x:c>
      <x:c r="G158" s="26" t="str">
        <x:v>R37, R32, R29</x:v>
      </x:c>
      <x:c r="H158" s="26" t="str">
        <x:v>R40</x:v>
      </x:c>
      <x:c r="I158" s="26" t="str">
        <x:v>R25 + R24</x:v>
      </x:c>
      <x:c r="J158" s="26" t="str">
        <x:v>Not started</x:v>
      </x:c>
      <x:c r="K158" s="26" t="str"/>
      <x:c r="L158" s="26" t="str">
        <x:v>Critical</x:v>
      </x:c>
    </x:row>
    <x:row r="159" ht="51" customHeight="1">
      <x:c r="A159" s="26" t="str">
        <x:v>ENC-04</x:v>
      </x:c>
      <x:c r="B159" s="26" t="str">
        <x:v>ENC</x:v>
      </x:c>
      <x:c r="C159" s="26" t="str">
        <x:v>Client-side encryption and decryption</x:v>
      </x:c>
      <x:c r="D159" s="26" t="str">
        <x:v>MUST</x:v>
      </x:c>
      <x:c r="E159" s="26" t="str">
        <x:v>CORE</x:v>
      </x:c>
      <x:c r="F159" s="26" t="str">
        <x:v>R20</x:v>
      </x:c>
      <x:c r="G159" s="26" t="str">
        <x:v>R37, R32, R29</x:v>
      </x:c>
      <x:c r="H159" s="26" t="str">
        <x:v>R40</x:v>
      </x:c>
      <x:c r="I159" s="26" t="str">
        <x:v>R25 + R24</x:v>
      </x:c>
      <x:c r="J159" s="26" t="str">
        <x:v>Not started</x:v>
      </x:c>
      <x:c r="K159" s="26" t="str"/>
      <x:c r="L159" s="26" t="str">
        <x:v>Critical</x:v>
      </x:c>
    </x:row>
    <x:row r="160" ht="51" customHeight="1">
      <x:c r="A160" s="26" t="str">
        <x:v>ENC-05</x:v>
      </x:c>
      <x:c r="B160" s="26" t="str">
        <x:v>ENC</x:v>
      </x:c>
      <x:c r="C160" s="26" t="str">
        <x:v>Envelope encryption in managed mode</x:v>
      </x:c>
      <x:c r="D160" s="26" t="str">
        <x:v>MUST</x:v>
      </x:c>
      <x:c r="E160" s="26" t="str">
        <x:v>CORE</x:v>
      </x:c>
      <x:c r="F160" s="26" t="str">
        <x:v>R20</x:v>
      </x:c>
      <x:c r="G160" s="26" t="str">
        <x:v>R37, R32, R29</x:v>
      </x:c>
      <x:c r="H160" s="26" t="str">
        <x:v>R40</x:v>
      </x:c>
      <x:c r="I160" s="26" t="str">
        <x:v>R25 + R24</x:v>
      </x:c>
      <x:c r="J160" s="26" t="str">
        <x:v>Not started</x:v>
      </x:c>
      <x:c r="K160" s="26" t="str"/>
      <x:c r="L160" s="26" t="str">
        <x:v>Critical</x:v>
      </x:c>
    </x:row>
    <x:row r="161" ht="51" customHeight="1">
      <x:c r="A161" s="26" t="str">
        <x:v>ENC-06</x:v>
      </x:c>
      <x:c r="B161" s="26" t="str">
        <x:v>ENC</x:v>
      </x:c>
      <x:c r="C161" s="26" t="str">
        <x:v>Tenant-separated root trust</x:v>
      </x:c>
      <x:c r="D161" s="26" t="str">
        <x:v>MUST</x:v>
      </x:c>
      <x:c r="E161" s="26" t="str">
        <x:v>CORE</x:v>
      </x:c>
      <x:c r="F161" s="26" t="str">
        <x:v>R20</x:v>
      </x:c>
      <x:c r="G161" s="26" t="str">
        <x:v>R37, R32, R29</x:v>
      </x:c>
      <x:c r="H161" s="26" t="str">
        <x:v>R40</x:v>
      </x:c>
      <x:c r="I161" s="26" t="str">
        <x:v>R25 + R24</x:v>
      </x:c>
      <x:c r="J161" s="26" t="str">
        <x:v>Not started</x:v>
      </x:c>
      <x:c r="K161" s="26" t="str"/>
      <x:c r="L161" s="26" t="str">
        <x:v>Critical</x:v>
      </x:c>
    </x:row>
    <x:row r="162" ht="51" customHeight="1">
      <x:c r="A162" s="26" t="str">
        <x:v>ENC-07</x:v>
      </x:c>
      <x:c r="B162" s="26" t="str">
        <x:v>ENC</x:v>
      </x:c>
      <x:c r="C162" s="26" t="str">
        <x:v>Recipient and group key wrapping</x:v>
      </x:c>
      <x:c r="D162" s="26" t="str">
        <x:v>MUST</x:v>
      </x:c>
      <x:c r="E162" s="26" t="str">
        <x:v>CORE</x:v>
      </x:c>
      <x:c r="F162" s="26" t="str">
        <x:v>R20</x:v>
      </x:c>
      <x:c r="G162" s="26" t="str">
        <x:v>R37, R32, R29</x:v>
      </x:c>
      <x:c r="H162" s="26" t="str">
        <x:v>R40</x:v>
      </x:c>
      <x:c r="I162" s="26" t="str">
        <x:v>R25 + R24</x:v>
      </x:c>
      <x:c r="J162" s="26" t="str">
        <x:v>Not started</x:v>
      </x:c>
      <x:c r="K162" s="26" t="str"/>
      <x:c r="L162" s="26" t="str">
        <x:v>Critical</x:v>
      </x:c>
    </x:row>
    <x:row r="163" ht="51" customHeight="1">
      <x:c r="A163" s="26" t="str">
        <x:v>ENC-08</x:v>
      </x:c>
      <x:c r="B163" s="26" t="str">
        <x:v>ENC</x:v>
      </x:c>
      <x:c r="C163" s="26" t="str">
        <x:v>Key identity transparency</x:v>
      </x:c>
      <x:c r="D163" s="26" t="str">
        <x:v>SHOULD</x:v>
      </x:c>
      <x:c r="E163" s="26" t="str">
        <x:v>ENTERPRISE</x:v>
      </x:c>
      <x:c r="F163" s="26" t="str">
        <x:v>R20</x:v>
      </x:c>
      <x:c r="G163" s="26" t="str">
        <x:v>R37, R32, R29</x:v>
      </x:c>
      <x:c r="H163" s="26" t="str">
        <x:v>R40</x:v>
      </x:c>
      <x:c r="I163" s="26" t="str">
        <x:v>R25 + R24</x:v>
      </x:c>
      <x:c r="J163" s="26" t="str">
        <x:v>Not started</x:v>
      </x:c>
      <x:c r="K163" s="26" t="str"/>
      <x:c r="L163" s="26" t="str">
        <x:v>Critical</x:v>
      </x:c>
    </x:row>
    <x:row r="164" ht="51" customHeight="1">
      <x:c r="A164" s="26" t="str">
        <x:v>ENC-09</x:v>
      </x:c>
      <x:c r="B164" s="26" t="str">
        <x:v>ENC</x:v>
      </x:c>
      <x:c r="C164" s="26" t="str">
        <x:v>Key sharing across subsidiaries</x:v>
      </x:c>
      <x:c r="D164" s="26" t="str">
        <x:v>SHOULD</x:v>
      </x:c>
      <x:c r="E164" s="26" t="str">
        <x:v>ENTERPRISE</x:v>
      </x:c>
      <x:c r="F164" s="26" t="str">
        <x:v>R20</x:v>
      </x:c>
      <x:c r="G164" s="26" t="str">
        <x:v>R37, R32, R29</x:v>
      </x:c>
      <x:c r="H164" s="26" t="str">
        <x:v>R40</x:v>
      </x:c>
      <x:c r="I164" s="26" t="str">
        <x:v>R25 + R24</x:v>
      </x:c>
      <x:c r="J164" s="26" t="str">
        <x:v>Not started</x:v>
      </x:c>
      <x:c r="K164" s="26" t="str"/>
      <x:c r="L164" s="26" t="str">
        <x:v>Critical</x:v>
      </x:c>
    </x:row>
    <x:row r="165" ht="51" customHeight="1">
      <x:c r="A165" s="26" t="str">
        <x:v>ENC-10</x:v>
      </x:c>
      <x:c r="B165" s="26" t="str">
        <x:v>ENC</x:v>
      </x:c>
      <x:c r="C165" s="26" t="str">
        <x:v>Key rotation and compromise response</x:v>
      </x:c>
      <x:c r="D165" s="26" t="str">
        <x:v>MUST</x:v>
      </x:c>
      <x:c r="E165" s="26" t="str">
        <x:v>CORE</x:v>
      </x:c>
      <x:c r="F165" s="26" t="str">
        <x:v>R20</x:v>
      </x:c>
      <x:c r="G165" s="26" t="str">
        <x:v>R37, R32, R29</x:v>
      </x:c>
      <x:c r="H165" s="26" t="str">
        <x:v>R40</x:v>
      </x:c>
      <x:c r="I165" s="26" t="str">
        <x:v>R25 + R24</x:v>
      </x:c>
      <x:c r="J165" s="26" t="str">
        <x:v>Not started</x:v>
      </x:c>
      <x:c r="K165" s="26" t="str"/>
      <x:c r="L165" s="26" t="str">
        <x:v>Critical</x:v>
      </x:c>
    </x:row>
    <x:row r="166" ht="51" customHeight="1">
      <x:c r="A166" s="26" t="str">
        <x:v>ENC-11</x:v>
      </x:c>
      <x:c r="B166" s="26" t="str">
        <x:v>ENC</x:v>
      </x:c>
      <x:c r="C166" s="26" t="str">
        <x:v>Zero-knowledge revocation semantics</x:v>
      </x:c>
      <x:c r="D166" s="26" t="str">
        <x:v>MUST</x:v>
      </x:c>
      <x:c r="E166" s="26" t="str">
        <x:v>CORE</x:v>
      </x:c>
      <x:c r="F166" s="26" t="str">
        <x:v>R20</x:v>
      </x:c>
      <x:c r="G166" s="26" t="str">
        <x:v>R37, R32, R29</x:v>
      </x:c>
      <x:c r="H166" s="26" t="str">
        <x:v>R40</x:v>
      </x:c>
      <x:c r="I166" s="26" t="str">
        <x:v>R25 + R24</x:v>
      </x:c>
      <x:c r="J166" s="26" t="str">
        <x:v>Not started</x:v>
      </x:c>
      <x:c r="K166" s="26" t="str"/>
      <x:c r="L166" s="26" t="str">
        <x:v>Critical</x:v>
      </x:c>
    </x:row>
    <x:row r="167" ht="51" customHeight="1">
      <x:c r="A167" s="26" t="str">
        <x:v>ENC-12</x:v>
      </x:c>
      <x:c r="B167" s="26" t="str">
        <x:v>ENC</x:v>
      </x:c>
      <x:c r="C167" s="26" t="str">
        <x:v>Key backup and trustee recovery</x:v>
      </x:c>
      <x:c r="D167" s="26" t="str">
        <x:v>MUST</x:v>
      </x:c>
      <x:c r="E167" s="26" t="str">
        <x:v>CORE</x:v>
      </x:c>
      <x:c r="F167" s="26" t="str">
        <x:v>R20</x:v>
      </x:c>
      <x:c r="G167" s="26" t="str">
        <x:v>R37, R32, R29</x:v>
      </x:c>
      <x:c r="H167" s="26" t="str">
        <x:v>R40</x:v>
      </x:c>
      <x:c r="I167" s="26" t="str">
        <x:v>R25 + R24</x:v>
      </x:c>
      <x:c r="J167" s="26" t="str">
        <x:v>Not started</x:v>
      </x:c>
      <x:c r="K167" s="26" t="str"/>
      <x:c r="L167" s="26" t="str">
        <x:v>Critical</x:v>
      </x:c>
    </x:row>
    <x:row r="168" ht="51" customHeight="1">
      <x:c r="A168" s="26" t="str">
        <x:v>ENC-13</x:v>
      </x:c>
      <x:c r="B168" s="26" t="str">
        <x:v>ENC</x:v>
      </x:c>
      <x:c r="C168" s="26" t="str">
        <x:v>Key lifecycle inventory</x:v>
      </x:c>
      <x:c r="D168" s="26" t="str">
        <x:v>MUST</x:v>
      </x:c>
      <x:c r="E168" s="26" t="str">
        <x:v>CORE</x:v>
      </x:c>
      <x:c r="F168" s="26" t="str">
        <x:v>R20</x:v>
      </x:c>
      <x:c r="G168" s="26" t="str">
        <x:v>R37, R32, R29</x:v>
      </x:c>
      <x:c r="H168" s="26" t="str">
        <x:v>R40</x:v>
      </x:c>
      <x:c r="I168" s="26" t="str">
        <x:v>R25 + R24</x:v>
      </x:c>
      <x:c r="J168" s="26" t="str">
        <x:v>Not started</x:v>
      </x:c>
      <x:c r="K168" s="26" t="str"/>
      <x:c r="L168" s="26" t="str">
        <x:v>Critical</x:v>
      </x:c>
    </x:row>
    <x:row r="169" ht="51" customHeight="1">
      <x:c r="A169" s="26" t="str">
        <x:v>ENC-14</x:v>
      </x:c>
      <x:c r="B169" s="26" t="str">
        <x:v>ENC</x:v>
      </x:c>
      <x:c r="C169" s="26" t="str">
        <x:v>Metadata and filename encryption</x:v>
      </x:c>
      <x:c r="D169" s="26" t="str">
        <x:v>MUST</x:v>
      </x:c>
      <x:c r="E169" s="26" t="str">
        <x:v>CORE</x:v>
      </x:c>
      <x:c r="F169" s="26" t="str">
        <x:v>R20</x:v>
      </x:c>
      <x:c r="G169" s="26" t="str">
        <x:v>R37, R32, R29</x:v>
      </x:c>
      <x:c r="H169" s="26" t="str">
        <x:v>R40</x:v>
      </x:c>
      <x:c r="I169" s="26" t="str">
        <x:v>R25 + R24</x:v>
      </x:c>
      <x:c r="J169" s="26" t="str">
        <x:v>Not started</x:v>
      </x:c>
      <x:c r="K169" s="26" t="str"/>
      <x:c r="L169" s="26" t="str">
        <x:v>Critical</x:v>
      </x:c>
    </x:row>
    <x:row r="170" ht="51" customHeight="1">
      <x:c r="A170" s="26" t="str">
        <x:v>ENC-15</x:v>
      </x:c>
      <x:c r="B170" s="26" t="str">
        <x:v>ENC</x:v>
      </x:c>
      <x:c r="C170" s="26" t="str">
        <x:v>Encrypted audit confidentiality</x:v>
      </x:c>
      <x:c r="D170" s="26" t="str">
        <x:v>SHOULD</x:v>
      </x:c>
      <x:c r="E170" s="26" t="str">
        <x:v>ENTERPRISE</x:v>
      </x:c>
      <x:c r="F170" s="26" t="str">
        <x:v>R20</x:v>
      </x:c>
      <x:c r="G170" s="26" t="str">
        <x:v>R37, R32, R29</x:v>
      </x:c>
      <x:c r="H170" s="26" t="str">
        <x:v>R40</x:v>
      </x:c>
      <x:c r="I170" s="26" t="str">
        <x:v>R25 + R24</x:v>
      </x:c>
      <x:c r="J170" s="26" t="str">
        <x:v>Not started</x:v>
      </x:c>
      <x:c r="K170" s="26" t="str"/>
      <x:c r="L170" s="26" t="str">
        <x:v>Critical</x:v>
      </x:c>
    </x:row>
    <x:row r="171" ht="51" customHeight="1">
      <x:c r="A171" s="26" t="str">
        <x:v>ENC-16</x:v>
      </x:c>
      <x:c r="B171" s="26" t="str">
        <x:v>ENC</x:v>
      </x:c>
      <x:c r="C171" s="26" t="str">
        <x:v>Encryption migration and agility</x:v>
      </x:c>
      <x:c r="D171" s="26" t="str">
        <x:v>SHOULD</x:v>
      </x:c>
      <x:c r="E171" s="26" t="str">
        <x:v>ENTERPRISE</x:v>
      </x:c>
      <x:c r="F171" s="26" t="str">
        <x:v>R20</x:v>
      </x:c>
      <x:c r="G171" s="26" t="str">
        <x:v>R37, R32, R29</x:v>
      </x:c>
      <x:c r="H171" s="26" t="str">
        <x:v>R40</x:v>
      </x:c>
      <x:c r="I171" s="26" t="str">
        <x:v>R25 + R24</x:v>
      </x:c>
      <x:c r="J171" s="26" t="str">
        <x:v>Not started</x:v>
      </x:c>
      <x:c r="K171" s="26" t="str"/>
      <x:c r="L171" s="26" t="str">
        <x:v>Critical</x:v>
      </x:c>
    </x:row>
    <x:row r="172" ht="51" customHeight="1">
      <x:c r="A172" s="26" t="str">
        <x:v>ENC-17</x:v>
      </x:c>
      <x:c r="B172" s="26" t="str">
        <x:v>ENC</x:v>
      </x:c>
      <x:c r="C172" s="26" t="str">
        <x:v>Secure temporary data handling</x:v>
      </x:c>
      <x:c r="D172" s="26" t="str">
        <x:v>MUST</x:v>
      </x:c>
      <x:c r="E172" s="26" t="str">
        <x:v>CORE</x:v>
      </x:c>
      <x:c r="F172" s="26" t="str">
        <x:v>R20</x:v>
      </x:c>
      <x:c r="G172" s="26" t="str">
        <x:v>R37, R32, R29</x:v>
      </x:c>
      <x:c r="H172" s="26" t="str">
        <x:v>R40</x:v>
      </x:c>
      <x:c r="I172" s="26" t="str">
        <x:v>R25 + R24</x:v>
      </x:c>
      <x:c r="J172" s="26" t="str">
        <x:v>Not started</x:v>
      </x:c>
      <x:c r="K172" s="26" t="str"/>
      <x:c r="L172" s="26" t="str">
        <x:v>Critical</x:v>
      </x:c>
    </x:row>
    <x:row r="173" ht="51" customHeight="1">
      <x:c r="A173" s="26" t="str">
        <x:v>ENC-18</x:v>
      </x:c>
      <x:c r="B173" s="26" t="str">
        <x:v>ENC</x:v>
      </x:c>
      <x:c r="C173" s="26" t="str">
        <x:v>Cryptographic deletion policy</x:v>
      </x:c>
      <x:c r="D173" s="26" t="str">
        <x:v>SHOULD</x:v>
      </x:c>
      <x:c r="E173" s="26" t="str">
        <x:v>ENTERPRISE</x:v>
      </x:c>
      <x:c r="F173" s="26" t="str">
        <x:v>R20</x:v>
      </x:c>
      <x:c r="G173" s="26" t="str">
        <x:v>R37, R32, R29</x:v>
      </x:c>
      <x:c r="H173" s="26" t="str">
        <x:v>R40</x:v>
      </x:c>
      <x:c r="I173" s="26" t="str">
        <x:v>R25 + R24</x:v>
      </x:c>
      <x:c r="J173" s="26" t="str">
        <x:v>Not started</x:v>
      </x:c>
      <x:c r="K173" s="26" t="str"/>
      <x:c r="L173" s="26" t="str">
        <x:v>Critical</x:v>
      </x:c>
    </x:row>
    <x:row r="174" ht="51" customHeight="1">
      <x:c r="A174" s="26" t="str">
        <x:v>ENC-19</x:v>
      </x:c>
      <x:c r="B174" s="26" t="str">
        <x:v>ENC</x:v>
      </x:c>
      <x:c r="C174" s="26" t="str">
        <x:v>Independent crypto review and test vectors</x:v>
      </x:c>
      <x:c r="D174" s="26" t="str">
        <x:v>MUST</x:v>
      </x:c>
      <x:c r="E174" s="26" t="str">
        <x:v>CORE</x:v>
      </x:c>
      <x:c r="F174" s="26" t="str">
        <x:v>R20</x:v>
      </x:c>
      <x:c r="G174" s="26" t="str">
        <x:v>R37, R32, R29</x:v>
      </x:c>
      <x:c r="H174" s="26" t="str">
        <x:v>R40</x:v>
      </x:c>
      <x:c r="I174" s="26" t="str">
        <x:v>R25 + R24</x:v>
      </x:c>
      <x:c r="J174" s="26" t="str">
        <x:v>Not started</x:v>
      </x:c>
      <x:c r="K174" s="26" t="str"/>
      <x:c r="L174" s="26" t="str">
        <x:v>Critical</x:v>
      </x:c>
    </x:row>
    <x:row r="175" ht="51" customHeight="1">
      <x:c r="A175" s="26" t="str">
        <x:v>ENC-20</x:v>
      </x:c>
      <x:c r="B175" s="26" t="str">
        <x:v>ENC</x:v>
      </x:c>
      <x:c r="C175" s="26" t="str">
        <x:v>Key availability and outage behavior</x:v>
      </x:c>
      <x:c r="D175" s="26" t="str">
        <x:v>MUST</x:v>
      </x:c>
      <x:c r="E175" s="26" t="str">
        <x:v>CORE</x:v>
      </x:c>
      <x:c r="F175" s="26" t="str">
        <x:v>R20</x:v>
      </x:c>
      <x:c r="G175" s="26" t="str">
        <x:v>R37, R32, R29</x:v>
      </x:c>
      <x:c r="H175" s="26" t="str">
        <x:v>R40</x:v>
      </x:c>
      <x:c r="I175" s="26" t="str">
        <x:v>R25 + R24</x:v>
      </x:c>
      <x:c r="J175" s="26" t="str">
        <x:v>Not started</x:v>
      </x:c>
      <x:c r="K175" s="26" t="str"/>
      <x:c r="L175" s="26" t="str">
        <x:v>Critical</x:v>
      </x:c>
    </x:row>
    <x:row r="176" ht="51" customHeight="1">
      <x:c r="A176" s="26" t="str">
        <x:v>SEC-01</x:v>
      </x:c>
      <x:c r="B176" s="26" t="str">
        <x:v>SEC</x:v>
      </x:c>
      <x:c r="C176" s="26" t="str">
        <x:v>Data classification model</x:v>
      </x:c>
      <x:c r="D176" s="26" t="str">
        <x:v>MUST</x:v>
      </x:c>
      <x:c r="E176" s="26" t="str">
        <x:v>CORE</x:v>
      </x:c>
      <x:c r="F176" s="26" t="str">
        <x:v>R19</x:v>
      </x:c>
      <x:c r="G176" s="26" t="str">
        <x:v>R22, R23, R28</x:v>
      </x:c>
      <x:c r="H176" s="26" t="str">
        <x:v>R40</x:v>
      </x:c>
      <x:c r="I176" s="26" t="str">
        <x:v>R24 + R25</x:v>
      </x:c>
      <x:c r="J176" s="26" t="str">
        <x:v>Not started</x:v>
      </x:c>
      <x:c r="K176" s="26" t="str"/>
      <x:c r="L176" s="26" t="str">
        <x:v>Critical</x:v>
      </x:c>
    </x:row>
    <x:row r="177" ht="51" customHeight="1">
      <x:c r="A177" s="26" t="str">
        <x:v>SEC-02</x:v>
      </x:c>
      <x:c r="B177" s="26" t="str">
        <x:v>SEC</x:v>
      </x:c>
      <x:c r="C177" s="26" t="str">
        <x:v>Data loss prevention rules</x:v>
      </x:c>
      <x:c r="D177" s="26" t="str">
        <x:v>SHOULD</x:v>
      </x:c>
      <x:c r="E177" s="26" t="str">
        <x:v>ENTERPRISE</x:v>
      </x:c>
      <x:c r="F177" s="26" t="str">
        <x:v>R19</x:v>
      </x:c>
      <x:c r="G177" s="26" t="str">
        <x:v>R22, R23, R28</x:v>
      </x:c>
      <x:c r="H177" s="26" t="str">
        <x:v>R40</x:v>
      </x:c>
      <x:c r="I177" s="26" t="str">
        <x:v>R24 + R25</x:v>
      </x:c>
      <x:c r="J177" s="26" t="str">
        <x:v>Not started</x:v>
      </x:c>
      <x:c r="K177" s="26" t="str"/>
      <x:c r="L177" s="26" t="str">
        <x:v>Critical</x:v>
      </x:c>
    </x:row>
    <x:row r="178" ht="51" customHeight="1">
      <x:c r="A178" s="26" t="str">
        <x:v>SEC-03</x:v>
      </x:c>
      <x:c r="B178" s="26" t="str">
        <x:v>SEC</x:v>
      </x:c>
      <x:c r="C178" s="26" t="str">
        <x:v>Download, print and clipboard rules</x:v>
      </x:c>
      <x:c r="D178" s="26" t="str">
        <x:v>SHOULD</x:v>
      </x:c>
      <x:c r="E178" s="26" t="str">
        <x:v>ENTERPRISE</x:v>
      </x:c>
      <x:c r="F178" s="26" t="str">
        <x:v>R19</x:v>
      </x:c>
      <x:c r="G178" s="26" t="str">
        <x:v>R22, R23, R28</x:v>
      </x:c>
      <x:c r="H178" s="26" t="str">
        <x:v>R40</x:v>
      </x:c>
      <x:c r="I178" s="26" t="str">
        <x:v>R24 + R25</x:v>
      </x:c>
      <x:c r="J178" s="26" t="str">
        <x:v>Not started</x:v>
      </x:c>
      <x:c r="K178" s="26" t="str"/>
      <x:c r="L178" s="26" t="str">
        <x:v>Critical</x:v>
      </x:c>
    </x:row>
    <x:row r="179" ht="51" customHeight="1">
      <x:c r="A179" s="26" t="str">
        <x:v>SEC-04</x:v>
      </x:c>
      <x:c r="B179" s="26" t="str">
        <x:v>SEC</x:v>
      </x:c>
      <x:c r="C179" s="26" t="str">
        <x:v>Malware scanning and quarantine</x:v>
      </x:c>
      <x:c r="D179" s="26" t="str">
        <x:v>MUST</x:v>
      </x:c>
      <x:c r="E179" s="26" t="str">
        <x:v>CORE</x:v>
      </x:c>
      <x:c r="F179" s="26" t="str">
        <x:v>R19</x:v>
      </x:c>
      <x:c r="G179" s="26" t="str">
        <x:v>R22, R23, R28</x:v>
      </x:c>
      <x:c r="H179" s="26" t="str">
        <x:v>R40</x:v>
      </x:c>
      <x:c r="I179" s="26" t="str">
        <x:v>R24 + R25</x:v>
      </x:c>
      <x:c r="J179" s="26" t="str">
        <x:v>Not started</x:v>
      </x:c>
      <x:c r="K179" s="26" t="str"/>
      <x:c r="L179" s="26" t="str">
        <x:v>Critical</x:v>
      </x:c>
    </x:row>
    <x:row r="180" ht="51" customHeight="1">
      <x:c r="A180" s="26" t="str">
        <x:v>SEC-05</x:v>
      </x:c>
      <x:c r="B180" s="26" t="str">
        <x:v>SEC</x:v>
      </x:c>
      <x:c r="C180" s="26" t="str">
        <x:v>Secure content conversion isolation</x:v>
      </x:c>
      <x:c r="D180" s="26" t="str">
        <x:v>MUST</x:v>
      </x:c>
      <x:c r="E180" s="26" t="str">
        <x:v>CORE</x:v>
      </x:c>
      <x:c r="F180" s="26" t="str">
        <x:v>R19</x:v>
      </x:c>
      <x:c r="G180" s="26" t="str">
        <x:v>R22, R23, R28</x:v>
      </x:c>
      <x:c r="H180" s="26" t="str">
        <x:v>R40</x:v>
      </x:c>
      <x:c r="I180" s="26" t="str">
        <x:v>R24 + R25</x:v>
      </x:c>
      <x:c r="J180" s="26" t="str">
        <x:v>Not started</x:v>
      </x:c>
      <x:c r="K180" s="26" t="str"/>
      <x:c r="L180" s="26" t="str">
        <x:v>Critical</x:v>
      </x:c>
    </x:row>
    <x:row r="181" ht="51" customHeight="1">
      <x:c r="A181" s="26" t="str">
        <x:v>SEC-06</x:v>
      </x:c>
      <x:c r="B181" s="26" t="str">
        <x:v>SEC</x:v>
      </x:c>
      <x:c r="C181" s="26" t="str">
        <x:v>Anomaly and insider-risk detection</x:v>
      </x:c>
      <x:c r="D181" s="26" t="str">
        <x:v>SHOULD</x:v>
      </x:c>
      <x:c r="E181" s="26" t="str">
        <x:v>ENTERPRISE</x:v>
      </x:c>
      <x:c r="F181" s="26" t="str">
        <x:v>R19</x:v>
      </x:c>
      <x:c r="G181" s="26" t="str">
        <x:v>R22, R23, R28</x:v>
      </x:c>
      <x:c r="H181" s="26" t="str">
        <x:v>R40</x:v>
      </x:c>
      <x:c r="I181" s="26" t="str">
        <x:v>R24 + R25</x:v>
      </x:c>
      <x:c r="J181" s="26" t="str">
        <x:v>Not started</x:v>
      </x:c>
      <x:c r="K181" s="26" t="str"/>
      <x:c r="L181" s="26" t="str">
        <x:v>Critical</x:v>
      </x:c>
    </x:row>
    <x:row r="182" ht="51" customHeight="1">
      <x:c r="A182" s="26" t="str">
        <x:v>SEC-07</x:v>
      </x:c>
      <x:c r="B182" s="26" t="str">
        <x:v>SEC</x:v>
      </x:c>
      <x:c r="C182" s="26" t="str">
        <x:v>Ransomware detection and rollback</x:v>
      </x:c>
      <x:c r="D182" s="26" t="str">
        <x:v>SHOULD</x:v>
      </x:c>
      <x:c r="E182" s="26" t="str">
        <x:v>ENTERPRISE</x:v>
      </x:c>
      <x:c r="F182" s="26" t="str">
        <x:v>R19</x:v>
      </x:c>
      <x:c r="G182" s="26" t="str">
        <x:v>R22, R23, R28</x:v>
      </x:c>
      <x:c r="H182" s="26" t="str">
        <x:v>R40</x:v>
      </x:c>
      <x:c r="I182" s="26" t="str">
        <x:v>R24 + R25</x:v>
      </x:c>
      <x:c r="J182" s="26" t="str">
        <x:v>Not started</x:v>
      </x:c>
      <x:c r="K182" s="26" t="str"/>
      <x:c r="L182" s="26" t="str">
        <x:v>Critical</x:v>
      </x:c>
    </x:row>
    <x:row r="183" ht="51" customHeight="1">
      <x:c r="A183" s="26" t="str">
        <x:v>SEC-08</x:v>
      </x:c>
      <x:c r="B183" s="26" t="str">
        <x:v>SEC</x:v>
      </x:c>
      <x:c r="C183" s="26" t="str">
        <x:v>External sharing restrictions</x:v>
      </x:c>
      <x:c r="D183" s="26" t="str">
        <x:v>MUST</x:v>
      </x:c>
      <x:c r="E183" s="26" t="str">
        <x:v>CORE</x:v>
      </x:c>
      <x:c r="F183" s="26" t="str">
        <x:v>R19</x:v>
      </x:c>
      <x:c r="G183" s="26" t="str">
        <x:v>R22, R23, R28</x:v>
      </x:c>
      <x:c r="H183" s="26" t="str">
        <x:v>R40</x:v>
      </x:c>
      <x:c r="I183" s="26" t="str">
        <x:v>R24 + R25</x:v>
      </x:c>
      <x:c r="J183" s="26" t="str">
        <x:v>Not started</x:v>
      </x:c>
      <x:c r="K183" s="26" t="str"/>
      <x:c r="L183" s="26" t="str">
        <x:v>Critical</x:v>
      </x:c>
    </x:row>
    <x:row r="184" ht="51" customHeight="1">
      <x:c r="A184" s="26" t="str">
        <x:v>SEC-09</x:v>
      </x:c>
      <x:c r="B184" s="26" t="str">
        <x:v>SEC</x:v>
      </x:c>
      <x:c r="C184" s="26" t="str">
        <x:v>Policy-aware watermark and labels</x:v>
      </x:c>
      <x:c r="D184" s="26" t="str">
        <x:v>SHOULD</x:v>
      </x:c>
      <x:c r="E184" s="26" t="str">
        <x:v>ENTERPRISE</x:v>
      </x:c>
      <x:c r="F184" s="26" t="str">
        <x:v>R19</x:v>
      </x:c>
      <x:c r="G184" s="26" t="str">
        <x:v>R22, R23, R28</x:v>
      </x:c>
      <x:c r="H184" s="26" t="str">
        <x:v>R40</x:v>
      </x:c>
      <x:c r="I184" s="26" t="str">
        <x:v>R24 + R25</x:v>
      </x:c>
      <x:c r="J184" s="26" t="str">
        <x:v>Not started</x:v>
      </x:c>
      <x:c r="K184" s="26" t="str"/>
      <x:c r="L184" s="26" t="str">
        <x:v>Critical</x:v>
      </x:c>
    </x:row>
    <x:row r="185" ht="51" customHeight="1">
      <x:c r="A185" s="26" t="str">
        <x:v>SEC-10</x:v>
      </x:c>
      <x:c r="B185" s="26" t="str">
        <x:v>SEC</x:v>
      </x:c>
      <x:c r="C185" s="26" t="str">
        <x:v>Network and IP policy</x:v>
      </x:c>
      <x:c r="D185" s="26" t="str">
        <x:v>SHOULD</x:v>
      </x:c>
      <x:c r="E185" s="26" t="str">
        <x:v>ENTERPRISE</x:v>
      </x:c>
      <x:c r="F185" s="26" t="str">
        <x:v>R19</x:v>
      </x:c>
      <x:c r="G185" s="26" t="str">
        <x:v>R22, R23, R28</x:v>
      </x:c>
      <x:c r="H185" s="26" t="str">
        <x:v>R40</x:v>
      </x:c>
      <x:c r="I185" s="26" t="str">
        <x:v>R24 + R25</x:v>
      </x:c>
      <x:c r="J185" s="26" t="str">
        <x:v>Not started</x:v>
      </x:c>
      <x:c r="K185" s="26" t="str"/>
      <x:c r="L185" s="26" t="str">
        <x:v>Critical</x:v>
      </x:c>
    </x:row>
    <x:row r="186" ht="51" customHeight="1">
      <x:c r="A186" s="26" t="str">
        <x:v>SEC-11</x:v>
      </x:c>
      <x:c r="B186" s="26" t="str">
        <x:v>SEC</x:v>
      </x:c>
      <x:c r="C186" s="26" t="str">
        <x:v>Content security and input hardening</x:v>
      </x:c>
      <x:c r="D186" s="26" t="str">
        <x:v>MUST</x:v>
      </x:c>
      <x:c r="E186" s="26" t="str">
        <x:v>CORE</x:v>
      </x:c>
      <x:c r="F186" s="26" t="str">
        <x:v>R19</x:v>
      </x:c>
      <x:c r="G186" s="26" t="str">
        <x:v>R22, R23, R28</x:v>
      </x:c>
      <x:c r="H186" s="26" t="str">
        <x:v>R40</x:v>
      </x:c>
      <x:c r="I186" s="26" t="str">
        <x:v>R24 + R25</x:v>
      </x:c>
      <x:c r="J186" s="26" t="str">
        <x:v>Not started</x:v>
      </x:c>
      <x:c r="K186" s="26" t="str"/>
      <x:c r="L186" s="26" t="str">
        <x:v>Critical</x:v>
      </x:c>
    </x:row>
    <x:row r="187" ht="51" customHeight="1">
      <x:c r="A187" s="26" t="str">
        <x:v>SEC-12</x:v>
      </x:c>
      <x:c r="B187" s="26" t="str">
        <x:v>SEC</x:v>
      </x:c>
      <x:c r="C187" s="26" t="str">
        <x:v>Supply-chain integrity</x:v>
      </x:c>
      <x:c r="D187" s="26" t="str">
        <x:v>MUST</x:v>
      </x:c>
      <x:c r="E187" s="26" t="str">
        <x:v>CORE</x:v>
      </x:c>
      <x:c r="F187" s="26" t="str">
        <x:v>R19</x:v>
      </x:c>
      <x:c r="G187" s="26" t="str">
        <x:v>R22, R23, R28</x:v>
      </x:c>
      <x:c r="H187" s="26" t="str">
        <x:v>R40</x:v>
      </x:c>
      <x:c r="I187" s="26" t="str">
        <x:v>R24 + R25</x:v>
      </x:c>
      <x:c r="J187" s="26" t="str">
        <x:v>Not started</x:v>
      </x:c>
      <x:c r="K187" s="26" t="str"/>
      <x:c r="L187" s="26" t="str">
        <x:v>Critical</x:v>
      </x:c>
    </x:row>
    <x:row r="188" ht="51" customHeight="1">
      <x:c r="A188" s="26" t="str">
        <x:v>SEC-13</x:v>
      </x:c>
      <x:c r="B188" s="26" t="str">
        <x:v>SEC</x:v>
      </x:c>
      <x:c r="C188" s="26" t="str">
        <x:v>Security alert operations</x:v>
      </x:c>
      <x:c r="D188" s="26" t="str">
        <x:v>MUST</x:v>
      </x:c>
      <x:c r="E188" s="26" t="str">
        <x:v>CORE</x:v>
      </x:c>
      <x:c r="F188" s="26" t="str">
        <x:v>R19</x:v>
      </x:c>
      <x:c r="G188" s="26" t="str">
        <x:v>R22, R23, R28</x:v>
      </x:c>
      <x:c r="H188" s="26" t="str">
        <x:v>R40</x:v>
      </x:c>
      <x:c r="I188" s="26" t="str">
        <x:v>R24 + R25</x:v>
      </x:c>
      <x:c r="J188" s="26" t="str">
        <x:v>Not started</x:v>
      </x:c>
      <x:c r="K188" s="26" t="str"/>
      <x:c r="L188" s="26" t="str">
        <x:v>Critical</x:v>
      </x:c>
    </x:row>
    <x:row r="189" ht="51" customHeight="1">
      <x:c r="A189" s="26" t="str">
        <x:v>SEC-14</x:v>
      </x:c>
      <x:c r="B189" s="26" t="str">
        <x:v>SEC</x:v>
      </x:c>
      <x:c r="C189" s="26" t="str">
        <x:v>Tenant security posture dashboard</x:v>
      </x:c>
      <x:c r="D189" s="26" t="str">
        <x:v>SHOULD</x:v>
      </x:c>
      <x:c r="E189" s="26" t="str">
        <x:v>ENTERPRISE</x:v>
      </x:c>
      <x:c r="F189" s="26" t="str">
        <x:v>R19</x:v>
      </x:c>
      <x:c r="G189" s="26" t="str">
        <x:v>R22, R23, R28</x:v>
      </x:c>
      <x:c r="H189" s="26" t="str">
        <x:v>R40</x:v>
      </x:c>
      <x:c r="I189" s="26" t="str">
        <x:v>R24 + R25</x:v>
      </x:c>
      <x:c r="J189" s="26" t="str">
        <x:v>Not started</x:v>
      </x:c>
      <x:c r="K189" s="26" t="str"/>
      <x:c r="L189" s="26" t="str">
        <x:v>Critical</x:v>
      </x:c>
    </x:row>
    <x:row r="190" ht="51" customHeight="1">
      <x:c r="A190" s="26" t="str">
        <x:v>SEC-15</x:v>
      </x:c>
      <x:c r="B190" s="26" t="str">
        <x:v>SEC</x:v>
      </x:c>
      <x:c r="C190" s="26" t="str">
        <x:v>Abuse-resistant search and APIs</x:v>
      </x:c>
      <x:c r="D190" s="26" t="str">
        <x:v>MUST</x:v>
      </x:c>
      <x:c r="E190" s="26" t="str">
        <x:v>CORE</x:v>
      </x:c>
      <x:c r="F190" s="26" t="str">
        <x:v>R19</x:v>
      </x:c>
      <x:c r="G190" s="26" t="str">
        <x:v>R22, R23, R28</x:v>
      </x:c>
      <x:c r="H190" s="26" t="str">
        <x:v>R40</x:v>
      </x:c>
      <x:c r="I190" s="26" t="str">
        <x:v>R24 + R25</x:v>
      </x:c>
      <x:c r="J190" s="26" t="str">
        <x:v>Not started</x:v>
      </x:c>
      <x:c r="K190" s="26" t="str"/>
      <x:c r="L190" s="26" t="str">
        <x:v>Critical</x:v>
      </x:c>
    </x:row>
    <x:row r="191" ht="51" customHeight="1">
      <x:c r="A191" s="26" t="str">
        <x:v>SEC-16</x:v>
      </x:c>
      <x:c r="B191" s="26" t="str">
        <x:v>SEC</x:v>
      </x:c>
      <x:c r="C191" s="26" t="str">
        <x:v>Vulnerability disclosure and response</x:v>
      </x:c>
      <x:c r="D191" s="26" t="str">
        <x:v>MUST</x:v>
      </x:c>
      <x:c r="E191" s="26" t="str">
        <x:v>CORE</x:v>
      </x:c>
      <x:c r="F191" s="26" t="str">
        <x:v>R19</x:v>
      </x:c>
      <x:c r="G191" s="26" t="str">
        <x:v>R22, R23, R28</x:v>
      </x:c>
      <x:c r="H191" s="26" t="str">
        <x:v>R40</x:v>
      </x:c>
      <x:c r="I191" s="26" t="str">
        <x:v>R24 + R25</x:v>
      </x:c>
      <x:c r="J191" s="26" t="str">
        <x:v>Not started</x:v>
      </x:c>
      <x:c r="K191" s="26" t="str"/>
      <x:c r="L191" s="26" t="str">
        <x:v>Critical</x:v>
      </x:c>
    </x:row>
    <x:row r="192" ht="51" customHeight="1">
      <x:c r="A192" s="26" t="str">
        <x:v>EXT-01</x:v>
      </x:c>
      <x:c r="B192" s="26" t="str">
        <x:v>EXT</x:v>
      </x:c>
      <x:c r="C192" s="26" t="str">
        <x:v>Invitation-based guest access</x:v>
      </x:c>
      <x:c r="D192" s="26" t="str">
        <x:v>MUST</x:v>
      </x:c>
      <x:c r="E192" s="26" t="str">
        <x:v>CORE</x:v>
      </x:c>
      <x:c r="F192" s="26" t="str">
        <x:v>R03</x:v>
      </x:c>
      <x:c r="G192" s="26" t="str">
        <x:v>R29, R37, R30</x:v>
      </x:c>
      <x:c r="H192" s="26" t="str">
        <x:v>R40</x:v>
      </x:c>
      <x:c r="I192" s="26" t="str">
        <x:v>R19 / R40</x:v>
      </x:c>
      <x:c r="J192" s="26" t="str">
        <x:v>Not started</x:v>
      </x:c>
      <x:c r="K192" s="26" t="str"/>
      <x:c r="L192" s="26" t="str">
        <x:v>High</x:v>
      </x:c>
    </x:row>
    <x:row r="193" ht="51" customHeight="1">
      <x:c r="A193" s="26" t="str">
        <x:v>EXT-02</x:v>
      </x:c>
      <x:c r="B193" s="26" t="str">
        <x:v>EXT</x:v>
      </x:c>
      <x:c r="C193" s="26" t="str">
        <x:v>Expiring share links</x:v>
      </x:c>
      <x:c r="D193" s="26" t="str">
        <x:v>SHOULD</x:v>
      </x:c>
      <x:c r="E193" s="26" t="str">
        <x:v>ENTERPRISE</x:v>
      </x:c>
      <x:c r="F193" s="26" t="str">
        <x:v>R03</x:v>
      </x:c>
      <x:c r="G193" s="26" t="str">
        <x:v>R29, R37, R30</x:v>
      </x:c>
      <x:c r="H193" s="26" t="str">
        <x:v>R40</x:v>
      </x:c>
      <x:c r="I193" s="26" t="str">
        <x:v>R19 / R40</x:v>
      </x:c>
      <x:c r="J193" s="26" t="str">
        <x:v>Not started</x:v>
      </x:c>
      <x:c r="K193" s="26" t="str"/>
      <x:c r="L193" s="26" t="str">
        <x:v>High</x:v>
      </x:c>
    </x:row>
    <x:row r="194" ht="51" customHeight="1">
      <x:c r="A194" s="26" t="str">
        <x:v>EXT-03</x:v>
      </x:c>
      <x:c r="B194" s="26" t="str">
        <x:v>EXT</x:v>
      </x:c>
      <x:c r="C194" s="26" t="str">
        <x:v>External data rooms</x:v>
      </x:c>
      <x:c r="D194" s="26" t="str">
        <x:v>SHOULD</x:v>
      </x:c>
      <x:c r="E194" s="26" t="str">
        <x:v>ENTERPRISE</x:v>
      </x:c>
      <x:c r="F194" s="26" t="str">
        <x:v>R03</x:v>
      </x:c>
      <x:c r="G194" s="26" t="str">
        <x:v>R29, R37, R30</x:v>
      </x:c>
      <x:c r="H194" s="26" t="str">
        <x:v>R40</x:v>
      </x:c>
      <x:c r="I194" s="26" t="str">
        <x:v>R19 / R40</x:v>
      </x:c>
      <x:c r="J194" s="26" t="str">
        <x:v>Not started</x:v>
      </x:c>
      <x:c r="K194" s="26" t="str"/>
      <x:c r="L194" s="26" t="str">
        <x:v>High</x:v>
      </x:c>
    </x:row>
    <x:row r="195" ht="51" customHeight="1">
      <x:c r="A195" s="26" t="str">
        <x:v>EXT-04</x:v>
      </x:c>
      <x:c r="B195" s="26" t="str">
        <x:v>EXT</x:v>
      </x:c>
      <x:c r="C195" s="26" t="str">
        <x:v>Recipient-side encryption</x:v>
      </x:c>
      <x:c r="D195" s="26" t="str">
        <x:v>MUST</x:v>
      </x:c>
      <x:c r="E195" s="26" t="str">
        <x:v>CORE</x:v>
      </x:c>
      <x:c r="F195" s="26" t="str">
        <x:v>R03</x:v>
      </x:c>
      <x:c r="G195" s="26" t="str">
        <x:v>R29, R37, R30</x:v>
      </x:c>
      <x:c r="H195" s="26" t="str">
        <x:v>R40</x:v>
      </x:c>
      <x:c r="I195" s="26" t="str">
        <x:v>R19 / R40</x:v>
      </x:c>
      <x:c r="J195" s="26" t="str">
        <x:v>Not started</x:v>
      </x:c>
      <x:c r="K195" s="26" t="str"/>
      <x:c r="L195" s="26" t="str">
        <x:v>High</x:v>
      </x:c>
    </x:row>
    <x:row r="196" ht="51" customHeight="1">
      <x:c r="A196" s="26" t="str">
        <x:v>EXT-05</x:v>
      </x:c>
      <x:c r="B196" s="26" t="str">
        <x:v>EXT</x:v>
      </x:c>
      <x:c r="C196" s="26" t="str">
        <x:v>File requests and inbound portals</x:v>
      </x:c>
      <x:c r="D196" s="26" t="str">
        <x:v>SHOULD</x:v>
      </x:c>
      <x:c r="E196" s="26" t="str">
        <x:v>ENTERPRISE</x:v>
      </x:c>
      <x:c r="F196" s="26" t="str">
        <x:v>R03</x:v>
      </x:c>
      <x:c r="G196" s="26" t="str">
        <x:v>R29, R37, R30</x:v>
      </x:c>
      <x:c r="H196" s="26" t="str">
        <x:v>R40</x:v>
      </x:c>
      <x:c r="I196" s="26" t="str">
        <x:v>R19 / R40</x:v>
      </x:c>
      <x:c r="J196" s="26" t="str">
        <x:v>Not started</x:v>
      </x:c>
      <x:c r="K196" s="26" t="str"/>
      <x:c r="L196" s="26" t="str">
        <x:v>High</x:v>
      </x:c>
    </x:row>
    <x:row r="197" ht="51" customHeight="1">
      <x:c r="A197" s="26" t="str">
        <x:v>EXT-06</x:v>
      </x:c>
      <x:c r="B197" s="26" t="str">
        <x:v>EXT</x:v>
      </x:c>
      <x:c r="C197" s="26" t="str">
        <x:v>External collaboration expiration</x:v>
      </x:c>
      <x:c r="D197" s="26" t="str">
        <x:v>MUST</x:v>
      </x:c>
      <x:c r="E197" s="26" t="str">
        <x:v>CORE</x:v>
      </x:c>
      <x:c r="F197" s="26" t="str">
        <x:v>R03</x:v>
      </x:c>
      <x:c r="G197" s="26" t="str">
        <x:v>R29, R37, R30</x:v>
      </x:c>
      <x:c r="H197" s="26" t="str">
        <x:v>R40</x:v>
      </x:c>
      <x:c r="I197" s="26" t="str">
        <x:v>R19 / R40</x:v>
      </x:c>
      <x:c r="J197" s="26" t="str">
        <x:v>Not started</x:v>
      </x:c>
      <x:c r="K197" s="26" t="str"/>
      <x:c r="L197" s="26" t="str">
        <x:v>High</x:v>
      </x:c>
    </x:row>
    <x:row r="198" ht="51" customHeight="1">
      <x:c r="A198" s="26" t="str">
        <x:v>EXT-07</x:v>
      </x:c>
      <x:c r="B198" s="26" t="str">
        <x:v>EXT</x:v>
      </x:c>
      <x:c r="C198" s="26" t="str">
        <x:v>Controlled outbound packages</x:v>
      </x:c>
      <x:c r="D198" s="26" t="str">
        <x:v>SHOULD</x:v>
      </x:c>
      <x:c r="E198" s="26" t="str">
        <x:v>ENTERPRISE</x:v>
      </x:c>
      <x:c r="F198" s="26" t="str">
        <x:v>R03</x:v>
      </x:c>
      <x:c r="G198" s="26" t="str">
        <x:v>R29, R37, R30</x:v>
      </x:c>
      <x:c r="H198" s="26" t="str">
        <x:v>R40</x:v>
      </x:c>
      <x:c r="I198" s="26" t="str">
        <x:v>R19 / R40</x:v>
      </x:c>
      <x:c r="J198" s="26" t="str">
        <x:v>Not started</x:v>
      </x:c>
      <x:c r="K198" s="26" t="str"/>
      <x:c r="L198" s="26" t="str">
        <x:v>High</x:v>
      </x:c>
    </x:row>
    <x:row r="199" ht="51" customHeight="1">
      <x:c r="A199" s="26" t="str">
        <x:v>EXT-08</x:v>
      </x:c>
      <x:c r="B199" s="26" t="str">
        <x:v>EXT</x:v>
      </x:c>
      <x:c r="C199" s="26" t="str">
        <x:v>Inter-subsidiary disclosure agreements</x:v>
      </x:c>
      <x:c r="D199" s="26" t="str">
        <x:v>SHOULD</x:v>
      </x:c>
      <x:c r="E199" s="26" t="str">
        <x:v>ENTERPRISE</x:v>
      </x:c>
      <x:c r="F199" s="26" t="str">
        <x:v>R03</x:v>
      </x:c>
      <x:c r="G199" s="26" t="str">
        <x:v>R29, R37, R30</x:v>
      </x:c>
      <x:c r="H199" s="26" t="str">
        <x:v>R40</x:v>
      </x:c>
      <x:c r="I199" s="26" t="str">
        <x:v>R19 / R40</x:v>
      </x:c>
      <x:c r="J199" s="26" t="str">
        <x:v>Not started</x:v>
      </x:c>
      <x:c r="K199" s="26" t="str"/>
      <x:c r="L199" s="26" t="str">
        <x:v>High</x:v>
      </x:c>
    </x:row>
    <x:row r="200" ht="51" customHeight="1">
      <x:c r="A200" s="26" t="str">
        <x:v>EXT-09</x:v>
      </x:c>
      <x:c r="B200" s="26" t="str">
        <x:v>EXT</x:v>
      </x:c>
      <x:c r="C200" s="26" t="str">
        <x:v>Negotiation and external review</x:v>
      </x:c>
      <x:c r="D200" s="26" t="str">
        <x:v>ADVANCED</x:v>
      </x:c>
      <x:c r="E200" s="26" t="str">
        <x:v>EXPANSION</x:v>
      </x:c>
      <x:c r="F200" s="26" t="str">
        <x:v>R03</x:v>
      </x:c>
      <x:c r="G200" s="26" t="str">
        <x:v>R29, R37, R30</x:v>
      </x:c>
      <x:c r="H200" s="26" t="str">
        <x:v>R40</x:v>
      </x:c>
      <x:c r="I200" s="26" t="str">
        <x:v>R19 / R40</x:v>
      </x:c>
      <x:c r="J200" s="26" t="str">
        <x:v>Not started</x:v>
      </x:c>
      <x:c r="K200" s="26" t="str"/>
      <x:c r="L200" s="26" t="str">
        <x:v>High</x:v>
      </x:c>
    </x:row>
    <x:row r="201" ht="51" customHeight="1">
      <x:c r="A201" s="26" t="str">
        <x:v>EXT-10</x:v>
      </x:c>
      <x:c r="B201" s="26" t="str">
        <x:v>EXT</x:v>
      </x:c>
      <x:c r="C201" s="26" t="str">
        <x:v>Public knowledge portal</x:v>
      </x:c>
      <x:c r="D201" s="26" t="str">
        <x:v>ADVANCED</x:v>
      </x:c>
      <x:c r="E201" s="26" t="str">
        <x:v>EXPANSION</x:v>
      </x:c>
      <x:c r="F201" s="26" t="str">
        <x:v>R03</x:v>
      </x:c>
      <x:c r="G201" s="26" t="str">
        <x:v>R29, R37, R30</x:v>
      </x:c>
      <x:c r="H201" s="26" t="str">
        <x:v>R40</x:v>
      </x:c>
      <x:c r="I201" s="26" t="str">
        <x:v>R19 / R40</x:v>
      </x:c>
      <x:c r="J201" s="26" t="str">
        <x:v>Not started</x:v>
      </x:c>
      <x:c r="K201" s="26" t="str"/>
      <x:c r="L201" s="26" t="str">
        <x:v>High</x:v>
      </x:c>
    </x:row>
    <x:row r="202" ht="51" customHeight="1">
      <x:c r="A202" s="26" t="str">
        <x:v>EXT-11</x:v>
      </x:c>
      <x:c r="B202" s="26" t="str">
        <x:v>EXT</x:v>
      </x:c>
      <x:c r="C202" s="26" t="str">
        <x:v>Secure outbound notifications</x:v>
      </x:c>
      <x:c r="D202" s="26" t="str">
        <x:v>MUST</x:v>
      </x:c>
      <x:c r="E202" s="26" t="str">
        <x:v>CORE</x:v>
      </x:c>
      <x:c r="F202" s="26" t="str">
        <x:v>R03</x:v>
      </x:c>
      <x:c r="G202" s="26" t="str">
        <x:v>R29, R37, R30</x:v>
      </x:c>
      <x:c r="H202" s="26" t="str">
        <x:v>R40</x:v>
      </x:c>
      <x:c r="I202" s="26" t="str">
        <x:v>R19 / R40</x:v>
      </x:c>
      <x:c r="J202" s="26" t="str">
        <x:v>Not started</x:v>
      </x:c>
      <x:c r="K202" s="26" t="str"/>
      <x:c r="L202" s="26" t="str">
        <x:v>High</x:v>
      </x:c>
    </x:row>
    <x:row r="203" ht="51" customHeight="1">
      <x:c r="A203" s="26" t="str">
        <x:v>EXT-12</x:v>
      </x:c>
      <x:c r="B203" s="26" t="str">
        <x:v>EXT</x:v>
      </x:c>
      <x:c r="C203" s="26" t="str">
        <x:v>Partner audit and attestations</x:v>
      </x:c>
      <x:c r="D203" s="26" t="str">
        <x:v>SHOULD</x:v>
      </x:c>
      <x:c r="E203" s="26" t="str">
        <x:v>ENTERPRISE</x:v>
      </x:c>
      <x:c r="F203" s="26" t="str">
        <x:v>R03</x:v>
      </x:c>
      <x:c r="G203" s="26" t="str">
        <x:v>R29, R37, R30</x:v>
      </x:c>
      <x:c r="H203" s="26" t="str">
        <x:v>R40</x:v>
      </x:c>
      <x:c r="I203" s="26" t="str">
        <x:v>R19 / R40</x:v>
      </x:c>
      <x:c r="J203" s="26" t="str">
        <x:v>Not started</x:v>
      </x:c>
      <x:c r="K203" s="26" t="str"/>
      <x:c r="L203" s="26" t="str">
        <x:v>High</x:v>
      </x:c>
    </x:row>
    <x:row r="204" ht="51" customHeight="1">
      <x:c r="A204" s="26" t="str">
        <x:v>EXT-13</x:v>
      </x:c>
      <x:c r="B204" s="26" t="str">
        <x:v>EXT</x:v>
      </x:c>
      <x:c r="C204" s="26" t="str">
        <x:v>Cross-tenant collaboration reviews</x:v>
      </x:c>
      <x:c r="D204" s="26" t="str">
        <x:v>SHOULD</x:v>
      </x:c>
      <x:c r="E204" s="26" t="str">
        <x:v>ENTERPRISE</x:v>
      </x:c>
      <x:c r="F204" s="26" t="str">
        <x:v>R03</x:v>
      </x:c>
      <x:c r="G204" s="26" t="str">
        <x:v>R29, R37, R30</x:v>
      </x:c>
      <x:c r="H204" s="26" t="str">
        <x:v>R40</x:v>
      </x:c>
      <x:c r="I204" s="26" t="str">
        <x:v>R19 / R40</x:v>
      </x:c>
      <x:c r="J204" s="26" t="str">
        <x:v>Not started</x:v>
      </x:c>
      <x:c r="K204" s="26" t="str"/>
      <x:c r="L204" s="26" t="str">
        <x:v>High</x:v>
      </x:c>
    </x:row>
    <x:row r="205" ht="51" customHeight="1">
      <x:c r="A205" s="26" t="str">
        <x:v>RPT-01</x:v>
      </x:c>
      <x:c r="B205" s="26" t="str">
        <x:v>RPT</x:v>
      </x:c>
      <x:c r="C205" s="26" t="str">
        <x:v>Independent append-only audit events</x:v>
      </x:c>
      <x:c r="D205" s="26" t="str">
        <x:v>MUST</x:v>
      </x:c>
      <x:c r="E205" s="26" t="str">
        <x:v>CORE</x:v>
      </x:c>
      <x:c r="F205" s="26" t="str">
        <x:v>R27</x:v>
      </x:c>
      <x:c r="G205" s="26" t="str">
        <x:v>R29, R31, R23</x:v>
      </x:c>
      <x:c r="H205" s="26" t="str">
        <x:v>R40</x:v>
      </x:c>
      <x:c r="I205" s="26" t="str">
        <x:v>R19 / R40</x:v>
      </x:c>
      <x:c r="J205" s="26" t="str">
        <x:v>Not started</x:v>
      </x:c>
      <x:c r="K205" s="26" t="str"/>
      <x:c r="L205" s="26" t="str">
        <x:v>Critical</x:v>
      </x:c>
    </x:row>
    <x:row r="206" ht="51" customHeight="1">
      <x:c r="A206" s="26" t="str">
        <x:v>RPT-02</x:v>
      </x:c>
      <x:c r="B206" s="26" t="str">
        <x:v>RPT</x:v>
      </x:c>
      <x:c r="C206" s="26" t="str">
        <x:v>Auditable policy decision traces</x:v>
      </x:c>
      <x:c r="D206" s="26" t="str">
        <x:v>MUST</x:v>
      </x:c>
      <x:c r="E206" s="26" t="str">
        <x:v>CORE</x:v>
      </x:c>
      <x:c r="F206" s="26" t="str">
        <x:v>R27</x:v>
      </x:c>
      <x:c r="G206" s="26" t="str">
        <x:v>R29, R31, R23</x:v>
      </x:c>
      <x:c r="H206" s="26" t="str">
        <x:v>R40</x:v>
      </x:c>
      <x:c r="I206" s="26" t="str">
        <x:v>R19 / R40</x:v>
      </x:c>
      <x:c r="J206" s="26" t="str">
        <x:v>Not started</x:v>
      </x:c>
      <x:c r="K206" s="26" t="str"/>
      <x:c r="L206" s="26" t="str">
        <x:v>Critical</x:v>
      </x:c>
    </x:row>
    <x:row r="207" ht="51" customHeight="1">
      <x:c r="A207" s="26" t="str">
        <x:v>RPT-03</x:v>
      </x:c>
      <x:c r="B207" s="26" t="str">
        <x:v>RPT</x:v>
      </x:c>
      <x:c r="C207" s="26" t="str">
        <x:v>Download and view access records</x:v>
      </x:c>
      <x:c r="D207" s="26" t="str">
        <x:v>MUST</x:v>
      </x:c>
      <x:c r="E207" s="26" t="str">
        <x:v>CORE</x:v>
      </x:c>
      <x:c r="F207" s="26" t="str">
        <x:v>R27</x:v>
      </x:c>
      <x:c r="G207" s="26" t="str">
        <x:v>R29, R31, R23</x:v>
      </x:c>
      <x:c r="H207" s="26" t="str">
        <x:v>R40</x:v>
      </x:c>
      <x:c r="I207" s="26" t="str">
        <x:v>R19 / R40</x:v>
      </x:c>
      <x:c r="J207" s="26" t="str">
        <x:v>Not started</x:v>
      </x:c>
      <x:c r="K207" s="26" t="str"/>
      <x:c r="L207" s="26" t="str">
        <x:v>Critical</x:v>
      </x:c>
    </x:row>
    <x:row r="208" ht="51" customHeight="1">
      <x:c r="A208" s="26" t="str">
        <x:v>RPT-04</x:v>
      </x:c>
      <x:c r="B208" s="26" t="str">
        <x:v>RPT</x:v>
      </x:c>
      <x:c r="C208" s="26" t="str">
        <x:v>Tamper-evident event chains</x:v>
      </x:c>
      <x:c r="D208" s="26" t="str">
        <x:v>SHOULD</x:v>
      </x:c>
      <x:c r="E208" s="26" t="str">
        <x:v>ENTERPRISE</x:v>
      </x:c>
      <x:c r="F208" s="26" t="str">
        <x:v>R27</x:v>
      </x:c>
      <x:c r="G208" s="26" t="str">
        <x:v>R29, R31, R23</x:v>
      </x:c>
      <x:c r="H208" s="26" t="str">
        <x:v>R40</x:v>
      </x:c>
      <x:c r="I208" s="26" t="str">
        <x:v>R19 / R40</x:v>
      </x:c>
      <x:c r="J208" s="26" t="str">
        <x:v>Not started</x:v>
      </x:c>
      <x:c r="K208" s="26" t="str"/>
      <x:c r="L208" s="26" t="str">
        <x:v>Critical</x:v>
      </x:c>
    </x:row>
    <x:row r="209" ht="51" customHeight="1">
      <x:c r="A209" s="26" t="str">
        <x:v>RPT-05</x:v>
      </x:c>
      <x:c r="B209" s="26" t="str">
        <x:v>RPT</x:v>
      </x:c>
      <x:c r="C209" s="26" t="str">
        <x:v>Subsidiary dashboards</x:v>
      </x:c>
      <x:c r="D209" s="26" t="str">
        <x:v>MUST</x:v>
      </x:c>
      <x:c r="E209" s="26" t="str">
        <x:v>CORE</x:v>
      </x:c>
      <x:c r="F209" s="26" t="str">
        <x:v>R27</x:v>
      </x:c>
      <x:c r="G209" s="26" t="str">
        <x:v>R29, R31, R23</x:v>
      </x:c>
      <x:c r="H209" s="26" t="str">
        <x:v>R40</x:v>
      </x:c>
      <x:c r="I209" s="26" t="str">
        <x:v>R19 / R40</x:v>
      </x:c>
      <x:c r="J209" s="26" t="str">
        <x:v>Not started</x:v>
      </x:c>
      <x:c r="K209" s="26" t="str"/>
      <x:c r="L209" s="26" t="str">
        <x:v>Critical</x:v>
      </x:c>
    </x:row>
    <x:row r="210" ht="51" customHeight="1">
      <x:c r="A210" s="26" t="str">
        <x:v>RPT-06</x:v>
      </x:c>
      <x:c r="B210" s="26" t="str">
        <x:v>RPT</x:v>
      </x:c>
      <x:c r="C210" s="26" t="str">
        <x:v>Holding oversight dashboard</x:v>
      </x:c>
      <x:c r="D210" s="26" t="str">
        <x:v>MUST</x:v>
      </x:c>
      <x:c r="E210" s="26" t="str">
        <x:v>CORE</x:v>
      </x:c>
      <x:c r="F210" s="26" t="str">
        <x:v>R27</x:v>
      </x:c>
      <x:c r="G210" s="26" t="str">
        <x:v>R29, R31, R23</x:v>
      </x:c>
      <x:c r="H210" s="26" t="str">
        <x:v>R40</x:v>
      </x:c>
      <x:c r="I210" s="26" t="str">
        <x:v>R19 / R40</x:v>
      </x:c>
      <x:c r="J210" s="26" t="str">
        <x:v>Not started</x:v>
      </x:c>
      <x:c r="K210" s="26" t="str"/>
      <x:c r="L210" s="26" t="str">
        <x:v>Critical</x:v>
      </x:c>
    </x:row>
    <x:row r="211" ht="51" customHeight="1">
      <x:c r="A211" s="26" t="str">
        <x:v>RPT-07</x:v>
      </x:c>
      <x:c r="B211" s="26" t="str">
        <x:v>RPT</x:v>
      </x:c>
      <x:c r="C211" s="26" t="str">
        <x:v>Custom report designer</x:v>
      </x:c>
      <x:c r="D211" s="26" t="str">
        <x:v>SHOULD</x:v>
      </x:c>
      <x:c r="E211" s="26" t="str">
        <x:v>ENTERPRISE</x:v>
      </x:c>
      <x:c r="F211" s="26" t="str">
        <x:v>R27</x:v>
      </x:c>
      <x:c r="G211" s="26" t="str">
        <x:v>R29, R31, R23</x:v>
      </x:c>
      <x:c r="H211" s="26" t="str">
        <x:v>R40</x:v>
      </x:c>
      <x:c r="I211" s="26" t="str">
        <x:v>R19 / R40</x:v>
      </x:c>
      <x:c r="J211" s="26" t="str">
        <x:v>Not started</x:v>
      </x:c>
      <x:c r="K211" s="26" t="str"/>
      <x:c r="L211" s="26" t="str">
        <x:v>Critical</x:v>
      </x:c>
    </x:row>
    <x:row r="212" ht="51" customHeight="1">
      <x:c r="A212" s="26" t="str">
        <x:v>RPT-08</x:v>
      </x:c>
      <x:c r="B212" s="26" t="str">
        <x:v>RPT</x:v>
      </x:c>
      <x:c r="C212" s="26" t="str">
        <x:v>Scheduled reporting</x:v>
      </x:c>
      <x:c r="D212" s="26" t="str">
        <x:v>SHOULD</x:v>
      </x:c>
      <x:c r="E212" s="26" t="str">
        <x:v>ENTERPRISE</x:v>
      </x:c>
      <x:c r="F212" s="26" t="str">
        <x:v>R27</x:v>
      </x:c>
      <x:c r="G212" s="26" t="str">
        <x:v>R29, R31, R23</x:v>
      </x:c>
      <x:c r="H212" s="26" t="str">
        <x:v>R40</x:v>
      </x:c>
      <x:c r="I212" s="26" t="str">
        <x:v>R19 / R40</x:v>
      </x:c>
      <x:c r="J212" s="26" t="str">
        <x:v>Not started</x:v>
      </x:c>
      <x:c r="K212" s="26" t="str"/>
      <x:c r="L212" s="26" t="str">
        <x:v>Critical</x:v>
      </x:c>
    </x:row>
    <x:row r="213" ht="51" customHeight="1">
      <x:c r="A213" s="26" t="str">
        <x:v>RPT-09</x:v>
      </x:c>
      <x:c r="B213" s="26" t="str">
        <x:v>RPT</x:v>
      </x:c>
      <x:c r="C213" s="26" t="str">
        <x:v>Security event SIEM export</x:v>
      </x:c>
      <x:c r="D213" s="26" t="str">
        <x:v>SHOULD</x:v>
      </x:c>
      <x:c r="E213" s="26" t="str">
        <x:v>ENTERPRISE</x:v>
      </x:c>
      <x:c r="F213" s="26" t="str">
        <x:v>R27</x:v>
      </x:c>
      <x:c r="G213" s="26" t="str">
        <x:v>R29, R31, R23</x:v>
      </x:c>
      <x:c r="H213" s="26" t="str">
        <x:v>R40</x:v>
      </x:c>
      <x:c r="I213" s="26" t="str">
        <x:v>R19 / R40</x:v>
      </x:c>
      <x:c r="J213" s="26" t="str">
        <x:v>Not started</x:v>
      </x:c>
      <x:c r="K213" s="26" t="str"/>
      <x:c r="L213" s="26" t="str">
        <x:v>Critical</x:v>
      </x:c>
    </x:row>
    <x:row r="214" ht="51" customHeight="1">
      <x:c r="A214" s="26" t="str">
        <x:v>RPT-10</x:v>
      </x:c>
      <x:c r="B214" s="26" t="str">
        <x:v>RPT</x:v>
      </x:c>
      <x:c r="C214" s="26" t="str">
        <x:v>Privacy access ledger</x:v>
      </x:c>
      <x:c r="D214" s="26" t="str">
        <x:v>SHOULD</x:v>
      </x:c>
      <x:c r="E214" s="26" t="str">
        <x:v>ENTERPRISE</x:v>
      </x:c>
      <x:c r="F214" s="26" t="str">
        <x:v>R27</x:v>
      </x:c>
      <x:c r="G214" s="26" t="str">
        <x:v>R29, R31, R23</x:v>
      </x:c>
      <x:c r="H214" s="26" t="str">
        <x:v>R40</x:v>
      </x:c>
      <x:c r="I214" s="26" t="str">
        <x:v>R19 / R40</x:v>
      </x:c>
      <x:c r="J214" s="26" t="str">
        <x:v>Not started</x:v>
      </x:c>
      <x:c r="K214" s="26" t="str"/>
      <x:c r="L214" s="26" t="str">
        <x:v>Critical</x:v>
      </x:c>
    </x:row>
    <x:row r="215" ht="51" customHeight="1">
      <x:c r="A215" s="26" t="str">
        <x:v>RPT-11</x:v>
      </x:c>
      <x:c r="B215" s="26" t="str">
        <x:v>RPT</x:v>
      </x:c>
      <x:c r="C215" s="26" t="str">
        <x:v>Process performance analytics</x:v>
      </x:c>
      <x:c r="D215" s="26" t="str">
        <x:v>SHOULD</x:v>
      </x:c>
      <x:c r="E215" s="26" t="str">
        <x:v>ENTERPRISE</x:v>
      </x:c>
      <x:c r="F215" s="26" t="str">
        <x:v>R27</x:v>
      </x:c>
      <x:c r="G215" s="26" t="str">
        <x:v>R29, R31, R23</x:v>
      </x:c>
      <x:c r="H215" s="26" t="str">
        <x:v>R40</x:v>
      </x:c>
      <x:c r="I215" s="26" t="str">
        <x:v>R19 / R40</x:v>
      </x:c>
      <x:c r="J215" s="26" t="str">
        <x:v>Not started</x:v>
      </x:c>
      <x:c r="K215" s="26" t="str"/>
      <x:c r="L215" s="26" t="str">
        <x:v>Critical</x:v>
      </x:c>
    </x:row>
    <x:row r="216" ht="51" customHeight="1">
      <x:c r="A216" s="26" t="str">
        <x:v>RPT-12</x:v>
      </x:c>
      <x:c r="B216" s="26" t="str">
        <x:v>RPT</x:v>
      </x:c>
      <x:c r="C216" s="26" t="str">
        <x:v>Search and knowledge analytics</x:v>
      </x:c>
      <x:c r="D216" s="26" t="str">
        <x:v>SHOULD</x:v>
      </x:c>
      <x:c r="E216" s="26" t="str">
        <x:v>ENTERPRISE</x:v>
      </x:c>
      <x:c r="F216" s="26" t="str">
        <x:v>R27</x:v>
      </x:c>
      <x:c r="G216" s="26" t="str">
        <x:v>R29, R31, R23</x:v>
      </x:c>
      <x:c r="H216" s="26" t="str">
        <x:v>R40</x:v>
      </x:c>
      <x:c r="I216" s="26" t="str">
        <x:v>R19 / R40</x:v>
      </x:c>
      <x:c r="J216" s="26" t="str">
        <x:v>Not started</x:v>
      </x:c>
      <x:c r="K216" s="26" t="str"/>
      <x:c r="L216" s="26" t="str">
        <x:v>Critical</x:v>
      </x:c>
    </x:row>
    <x:row r="217" ht="51" customHeight="1">
      <x:c r="A217" s="26" t="str">
        <x:v>RPT-13</x:v>
      </x:c>
      <x:c r="B217" s="26" t="str">
        <x:v>RPT</x:v>
      </x:c>
      <x:c r="C217" s="26" t="str">
        <x:v>Compliance evidence package</x:v>
      </x:c>
      <x:c r="D217" s="26" t="str">
        <x:v>SHOULD</x:v>
      </x:c>
      <x:c r="E217" s="26" t="str">
        <x:v>ENTERPRISE</x:v>
      </x:c>
      <x:c r="F217" s="26" t="str">
        <x:v>R27</x:v>
      </x:c>
      <x:c r="G217" s="26" t="str">
        <x:v>R29, R31, R23</x:v>
      </x:c>
      <x:c r="H217" s="26" t="str">
        <x:v>R40</x:v>
      </x:c>
      <x:c r="I217" s="26" t="str">
        <x:v>R19 / R40</x:v>
      </x:c>
      <x:c r="J217" s="26" t="str">
        <x:v>Not started</x:v>
      </x:c>
      <x:c r="K217" s="26" t="str"/>
      <x:c r="L217" s="26" t="str">
        <x:v>Critical</x:v>
      </x:c>
    </x:row>
    <x:row r="218" ht="51" customHeight="1">
      <x:c r="A218" s="26" t="str">
        <x:v>RPT-14</x:v>
      </x:c>
      <x:c r="B218" s="26" t="str">
        <x:v>RPT</x:v>
      </x:c>
      <x:c r="C218" s="26" t="str">
        <x:v>Access anomaly visualization</x:v>
      </x:c>
      <x:c r="D218" s="26" t="str">
        <x:v>ADVANCED</x:v>
      </x:c>
      <x:c r="E218" s="26" t="str">
        <x:v>EXPANSION</x:v>
      </x:c>
      <x:c r="F218" s="26" t="str">
        <x:v>R27</x:v>
      </x:c>
      <x:c r="G218" s="26" t="str">
        <x:v>R29, R31, R23</x:v>
      </x:c>
      <x:c r="H218" s="26" t="str">
        <x:v>R40</x:v>
      </x:c>
      <x:c r="I218" s="26" t="str">
        <x:v>R19 / R40</x:v>
      </x:c>
      <x:c r="J218" s="26" t="str">
        <x:v>Not started</x:v>
      </x:c>
      <x:c r="K218" s="26" t="str"/>
      <x:c r="L218" s="26" t="str">
        <x:v>Critical</x:v>
      </x:c>
    </x:row>
    <x:row r="219" ht="51" customHeight="1">
      <x:c r="A219" s="26" t="str">
        <x:v>AIX-01</x:v>
      </x:c>
      <x:c r="B219" s="26" t="str">
        <x:v>AIX</x:v>
      </x:c>
      <x:c r="C219" s="26" t="str">
        <x:v>AI feature policy center</x:v>
      </x:c>
      <x:c r="D219" s="26" t="str">
        <x:v>MUST</x:v>
      </x:c>
      <x:c r="E219" s="26" t="str">
        <x:v>CORE</x:v>
      </x:c>
      <x:c r="F219" s="26" t="str">
        <x:v>R03</x:v>
      </x:c>
      <x:c r="G219" s="26" t="str">
        <x:v>R35, R34, R29</x:v>
      </x:c>
      <x:c r="H219" s="26" t="str">
        <x:v>R40</x:v>
      </x:c>
      <x:c r="I219" s="26" t="str">
        <x:v>R19 / R40</x:v>
      </x:c>
      <x:c r="J219" s="26" t="str">
        <x:v>Not started</x:v>
      </x:c>
      <x:c r="K219" s="26" t="str"/>
      <x:c r="L219" s="26" t="str">
        <x:v>High</x:v>
      </x:c>
    </x:row>
    <x:row r="220" ht="51" customHeight="1">
      <x:c r="A220" s="26" t="str">
        <x:v>AIX-02</x:v>
      </x:c>
      <x:c r="B220" s="26" t="str">
        <x:v>AIX</x:v>
      </x:c>
      <x:c r="C220" s="26" t="str">
        <x:v>Permission-trimmed enterprise Q&amp;A</x:v>
      </x:c>
      <x:c r="D220" s="26" t="str">
        <x:v>SHOULD</x:v>
      </x:c>
      <x:c r="E220" s="26" t="str">
        <x:v>ENTERPRISE</x:v>
      </x:c>
      <x:c r="F220" s="26" t="str">
        <x:v>R03</x:v>
      </x:c>
      <x:c r="G220" s="26" t="str">
        <x:v>R35, R34, R29</x:v>
      </x:c>
      <x:c r="H220" s="26" t="str">
        <x:v>R40</x:v>
      </x:c>
      <x:c r="I220" s="26" t="str">
        <x:v>R19 / R40</x:v>
      </x:c>
      <x:c r="J220" s="26" t="str">
        <x:v>Not started</x:v>
      </x:c>
      <x:c r="K220" s="26" t="str"/>
      <x:c r="L220" s="26" t="str">
        <x:v>High</x:v>
      </x:c>
    </x:row>
    <x:row r="221" ht="51" customHeight="1">
      <x:c r="A221" s="26" t="str">
        <x:v>AIX-03</x:v>
      </x:c>
      <x:c r="B221" s="26" t="str">
        <x:v>AIX</x:v>
      </x:c>
      <x:c r="C221" s="26" t="str">
        <x:v>Summarization and document briefs</x:v>
      </x:c>
      <x:c r="D221" s="26" t="str">
        <x:v>SHOULD</x:v>
      </x:c>
      <x:c r="E221" s="26" t="str">
        <x:v>ENTERPRISE</x:v>
      </x:c>
      <x:c r="F221" s="26" t="str">
        <x:v>R03</x:v>
      </x:c>
      <x:c r="G221" s="26" t="str">
        <x:v>R35, R34, R29</x:v>
      </x:c>
      <x:c r="H221" s="26" t="str">
        <x:v>R40</x:v>
      </x:c>
      <x:c r="I221" s="26" t="str">
        <x:v>R19 / R40</x:v>
      </x:c>
      <x:c r="J221" s="26" t="str">
        <x:v>Not started</x:v>
      </x:c>
      <x:c r="K221" s="26" t="str"/>
      <x:c r="L221" s="26" t="str">
        <x:v>High</x:v>
      </x:c>
    </x:row>
    <x:row r="222" ht="51" customHeight="1">
      <x:c r="A222" s="26" t="str">
        <x:v>AIX-04</x:v>
      </x:c>
      <x:c r="B222" s="26" t="str">
        <x:v>AIX</x:v>
      </x:c>
      <x:c r="C222" s="26" t="str">
        <x:v>Semantic and vector search</x:v>
      </x:c>
      <x:c r="D222" s="26" t="str">
        <x:v>SHOULD</x:v>
      </x:c>
      <x:c r="E222" s="26" t="str">
        <x:v>ENTERPRISE</x:v>
      </x:c>
      <x:c r="F222" s="26" t="str">
        <x:v>R03</x:v>
      </x:c>
      <x:c r="G222" s="26" t="str">
        <x:v>R35, R34, R29</x:v>
      </x:c>
      <x:c r="H222" s="26" t="str">
        <x:v>R40</x:v>
      </x:c>
      <x:c r="I222" s="26" t="str">
        <x:v>R19 / R40</x:v>
      </x:c>
      <x:c r="J222" s="26" t="str">
        <x:v>Not started</x:v>
      </x:c>
      <x:c r="K222" s="26" t="str"/>
      <x:c r="L222" s="26" t="str">
        <x:v>High</x:v>
      </x:c>
    </x:row>
    <x:row r="223" ht="51" customHeight="1">
      <x:c r="A223" s="26" t="str">
        <x:v>AIX-05</x:v>
      </x:c>
      <x:c r="B223" s="26" t="str">
        <x:v>AIX</x:v>
      </x:c>
      <x:c r="C223" s="26" t="str">
        <x:v>AI-assisted classification</x:v>
      </x:c>
      <x:c r="D223" s="26" t="str">
        <x:v>SHOULD</x:v>
      </x:c>
      <x:c r="E223" s="26" t="str">
        <x:v>ENTERPRISE</x:v>
      </x:c>
      <x:c r="F223" s="26" t="str">
        <x:v>R03</x:v>
      </x:c>
      <x:c r="G223" s="26" t="str">
        <x:v>R35, R34, R29</x:v>
      </x:c>
      <x:c r="H223" s="26" t="str">
        <x:v>R40</x:v>
      </x:c>
      <x:c r="I223" s="26" t="str">
        <x:v>R19 / R40</x:v>
      </x:c>
      <x:c r="J223" s="26" t="str">
        <x:v>Not started</x:v>
      </x:c>
      <x:c r="K223" s="26" t="str"/>
      <x:c r="L223" s="26" t="str">
        <x:v>High</x:v>
      </x:c>
    </x:row>
    <x:row r="224" ht="51" customHeight="1">
      <x:c r="A224" s="26" t="str">
        <x:v>AIX-06</x:v>
      </x:c>
      <x:c r="B224" s="26" t="str">
        <x:v>AIX</x:v>
      </x:c>
      <x:c r="C224" s="26" t="str">
        <x:v>Entity and obligation extraction</x:v>
      </x:c>
      <x:c r="D224" s="26" t="str">
        <x:v>SHOULD</x:v>
      </x:c>
      <x:c r="E224" s="26" t="str">
        <x:v>ENTERPRISE</x:v>
      </x:c>
      <x:c r="F224" s="26" t="str">
        <x:v>R03</x:v>
      </x:c>
      <x:c r="G224" s="26" t="str">
        <x:v>R35, R34, R29</x:v>
      </x:c>
      <x:c r="H224" s="26" t="str">
        <x:v>R40</x:v>
      </x:c>
      <x:c r="I224" s="26" t="str">
        <x:v>R19 / R40</x:v>
      </x:c>
      <x:c r="J224" s="26" t="str">
        <x:v>Not started</x:v>
      </x:c>
      <x:c r="K224" s="26" t="str"/>
      <x:c r="L224" s="26" t="str">
        <x:v>High</x:v>
      </x:c>
    </x:row>
    <x:row r="225" ht="51" customHeight="1">
      <x:c r="A225" s="26" t="str">
        <x:v>AIX-07</x:v>
      </x:c>
      <x:c r="B225" s="26" t="str">
        <x:v>AIX</x:v>
      </x:c>
      <x:c r="C225" s="26" t="str">
        <x:v>Translation assistance</x:v>
      </x:c>
      <x:c r="D225" s="26" t="str">
        <x:v>ADVANCED</x:v>
      </x:c>
      <x:c r="E225" s="26" t="str">
        <x:v>EXPANSION</x:v>
      </x:c>
      <x:c r="F225" s="26" t="str">
        <x:v>R03</x:v>
      </x:c>
      <x:c r="G225" s="26" t="str">
        <x:v>R35, R34, R29</x:v>
      </x:c>
      <x:c r="H225" s="26" t="str">
        <x:v>R40</x:v>
      </x:c>
      <x:c r="I225" s="26" t="str">
        <x:v>R19 / R40</x:v>
      </x:c>
      <x:c r="J225" s="26" t="str">
        <x:v>Not started</x:v>
      </x:c>
      <x:c r="K225" s="26" t="str"/>
      <x:c r="L225" s="26" t="str">
        <x:v>High</x:v>
      </x:c>
    </x:row>
    <x:row r="226" ht="51" customHeight="1">
      <x:c r="A226" s="26" t="str">
        <x:v>AIX-08</x:v>
      </x:c>
      <x:c r="B226" s="26" t="str">
        <x:v>AIX</x:v>
      </x:c>
      <x:c r="C226" s="26" t="str">
        <x:v>Knowledge article drafting</x:v>
      </x:c>
      <x:c r="D226" s="26" t="str">
        <x:v>SHOULD</x:v>
      </x:c>
      <x:c r="E226" s="26" t="str">
        <x:v>ENTERPRISE</x:v>
      </x:c>
      <x:c r="F226" s="26" t="str">
        <x:v>R03</x:v>
      </x:c>
      <x:c r="G226" s="26" t="str">
        <x:v>R35, R34, R29</x:v>
      </x:c>
      <x:c r="H226" s="26" t="str">
        <x:v>R40</x:v>
      </x:c>
      <x:c r="I226" s="26" t="str">
        <x:v>R19 / R40</x:v>
      </x:c>
      <x:c r="J226" s="26" t="str">
        <x:v>Not started</x:v>
      </x:c>
      <x:c r="K226" s="26" t="str"/>
      <x:c r="L226" s="26" t="str">
        <x:v>High</x:v>
      </x:c>
    </x:row>
    <x:row r="227" ht="51" customHeight="1">
      <x:c r="A227" s="26" t="str">
        <x:v>AIX-09</x:v>
      </x:c>
      <x:c r="B227" s="26" t="str">
        <x:v>AIX</x:v>
      </x:c>
      <x:c r="C227" s="26" t="str">
        <x:v>Duplicate and conflict detection</x:v>
      </x:c>
      <x:c r="D227" s="26" t="str">
        <x:v>ADVANCED</x:v>
      </x:c>
      <x:c r="E227" s="26" t="str">
        <x:v>EXPANSION</x:v>
      </x:c>
      <x:c r="F227" s="26" t="str">
        <x:v>R03</x:v>
      </x:c>
      <x:c r="G227" s="26" t="str">
        <x:v>R35, R34, R29</x:v>
      </x:c>
      <x:c r="H227" s="26" t="str">
        <x:v>R40</x:v>
      </x:c>
      <x:c r="I227" s="26" t="str">
        <x:v>R19 / R40</x:v>
      </x:c>
      <x:c r="J227" s="26" t="str">
        <x:v>Not started</x:v>
      </x:c>
      <x:c r="K227" s="26" t="str"/>
      <x:c r="L227" s="26" t="str">
        <x:v>High</x:v>
      </x:c>
    </x:row>
    <x:row r="228" ht="51" customHeight="1">
      <x:c r="A228" s="26" t="str">
        <x:v>AIX-10</x:v>
      </x:c>
      <x:c r="B228" s="26" t="str">
        <x:v>AIX</x:v>
      </x:c>
      <x:c r="C228" s="26" t="str">
        <x:v>Document question answering</x:v>
      </x:c>
      <x:c r="D228" s="26" t="str">
        <x:v>SHOULD</x:v>
      </x:c>
      <x:c r="E228" s="26" t="str">
        <x:v>ENTERPRISE</x:v>
      </x:c>
      <x:c r="F228" s="26" t="str">
        <x:v>R03</x:v>
      </x:c>
      <x:c r="G228" s="26" t="str">
        <x:v>R35, R34, R29</x:v>
      </x:c>
      <x:c r="H228" s="26" t="str">
        <x:v>R40</x:v>
      </x:c>
      <x:c r="I228" s="26" t="str">
        <x:v>R19 / R40</x:v>
      </x:c>
      <x:c r="J228" s="26" t="str">
        <x:v>Not started</x:v>
      </x:c>
      <x:c r="K228" s="26" t="str"/>
      <x:c r="L228" s="26" t="str">
        <x:v>High</x:v>
      </x:c>
    </x:row>
    <x:row r="229" ht="51" customHeight="1">
      <x:c r="A229" s="26" t="str">
        <x:v>AIX-11</x:v>
      </x:c>
      <x:c r="B229" s="26" t="str">
        <x:v>AIX</x:v>
      </x:c>
      <x:c r="C229" s="26" t="str">
        <x:v>Model and prompt registry</x:v>
      </x:c>
      <x:c r="D229" s="26" t="str">
        <x:v>SHOULD</x:v>
      </x:c>
      <x:c r="E229" s="26" t="str">
        <x:v>ENTERPRISE</x:v>
      </x:c>
      <x:c r="F229" s="26" t="str">
        <x:v>R03</x:v>
      </x:c>
      <x:c r="G229" s="26" t="str">
        <x:v>R35, R34, R29</x:v>
      </x:c>
      <x:c r="H229" s="26" t="str">
        <x:v>R40</x:v>
      </x:c>
      <x:c r="I229" s="26" t="str">
        <x:v>R19 / R40</x:v>
      </x:c>
      <x:c r="J229" s="26" t="str">
        <x:v>Not started</x:v>
      </x:c>
      <x:c r="K229" s="26" t="str"/>
      <x:c r="L229" s="26" t="str">
        <x:v>High</x:v>
      </x:c>
    </x:row>
    <x:row r="230" ht="51" customHeight="1">
      <x:c r="A230" s="26" t="str">
        <x:v>AIX-12</x:v>
      </x:c>
      <x:c r="B230" s="26" t="str">
        <x:v>AIX</x:v>
      </x:c>
      <x:c r="C230" s="26" t="str">
        <x:v>Prompt injection defense</x:v>
      </x:c>
      <x:c r="D230" s="26" t="str">
        <x:v>MUST</x:v>
      </x:c>
      <x:c r="E230" s="26" t="str">
        <x:v>CORE</x:v>
      </x:c>
      <x:c r="F230" s="26" t="str">
        <x:v>R03</x:v>
      </x:c>
      <x:c r="G230" s="26" t="str">
        <x:v>R35, R34, R29</x:v>
      </x:c>
      <x:c r="H230" s="26" t="str">
        <x:v>R40</x:v>
      </x:c>
      <x:c r="I230" s="26" t="str">
        <x:v>R19 / R40</x:v>
      </x:c>
      <x:c r="J230" s="26" t="str">
        <x:v>Not started</x:v>
      </x:c>
      <x:c r="K230" s="26" t="str"/>
      <x:c r="L230" s="26" t="str">
        <x:v>High</x:v>
      </x:c>
    </x:row>
    <x:row r="231" ht="51" customHeight="1">
      <x:c r="A231" s="26" t="str">
        <x:v>AIX-13</x:v>
      </x:c>
      <x:c r="B231" s="26" t="str">
        <x:v>AIX</x:v>
      </x:c>
      <x:c r="C231" s="26" t="str">
        <x:v>AI usage audit</x:v>
      </x:c>
      <x:c r="D231" s="26" t="str">
        <x:v>SHOULD</x:v>
      </x:c>
      <x:c r="E231" s="26" t="str">
        <x:v>ENTERPRISE</x:v>
      </x:c>
      <x:c r="F231" s="26" t="str">
        <x:v>R03</x:v>
      </x:c>
      <x:c r="G231" s="26" t="str">
        <x:v>R35, R34, R29</x:v>
      </x:c>
      <x:c r="H231" s="26" t="str">
        <x:v>R40</x:v>
      </x:c>
      <x:c r="I231" s="26" t="str">
        <x:v>R19 / R40</x:v>
      </x:c>
      <x:c r="J231" s="26" t="str">
        <x:v>Not started</x:v>
      </x:c>
      <x:c r="K231" s="26" t="str"/>
      <x:c r="L231" s="26" t="str">
        <x:v>High</x:v>
      </x:c>
    </x:row>
    <x:row r="232" ht="51" customHeight="1">
      <x:c r="A232" s="26" t="str">
        <x:v>AIX-14</x:v>
      </x:c>
      <x:c r="B232" s="26" t="str">
        <x:v>AIX</x:v>
      </x:c>
      <x:c r="C232" s="26" t="str">
        <x:v>Human-in-the-loop guardrails</x:v>
      </x:c>
      <x:c r="D232" s="26" t="str">
        <x:v>MUST</x:v>
      </x:c>
      <x:c r="E232" s="26" t="str">
        <x:v>CORE</x:v>
      </x:c>
      <x:c r="F232" s="26" t="str">
        <x:v>R03</x:v>
      </x:c>
      <x:c r="G232" s="26" t="str">
        <x:v>R35, R34, R29</x:v>
      </x:c>
      <x:c r="H232" s="26" t="str">
        <x:v>R40</x:v>
      </x:c>
      <x:c r="I232" s="26" t="str">
        <x:v>R19 / R40</x:v>
      </x:c>
      <x:c r="J232" s="26" t="str">
        <x:v>Not started</x:v>
      </x:c>
      <x:c r="K232" s="26" t="str"/>
      <x:c r="L232" s="26" t="str">
        <x:v>High</x:v>
      </x:c>
    </x:row>
    <x:row r="233" ht="51" customHeight="1">
      <x:c r="A233" s="26" t="str">
        <x:v>AIX-15</x:v>
      </x:c>
      <x:c r="B233" s="26" t="str">
        <x:v>AIX</x:v>
      </x:c>
      <x:c r="C233" s="26" t="str">
        <x:v>Sensitive content redaction before AI</x:v>
      </x:c>
      <x:c r="D233" s="26" t="str">
        <x:v>SHOULD</x:v>
      </x:c>
      <x:c r="E233" s="26" t="str">
        <x:v>ENTERPRISE</x:v>
      </x:c>
      <x:c r="F233" s="26" t="str">
        <x:v>R03</x:v>
      </x:c>
      <x:c r="G233" s="26" t="str">
        <x:v>R35, R34, R29</x:v>
      </x:c>
      <x:c r="H233" s="26" t="str">
        <x:v>R40</x:v>
      </x:c>
      <x:c r="I233" s="26" t="str">
        <x:v>R19 / R40</x:v>
      </x:c>
      <x:c r="J233" s="26" t="str">
        <x:v>Not started</x:v>
      </x:c>
      <x:c r="K233" s="26" t="str"/>
      <x:c r="L233" s="26" t="str">
        <x:v>High</x:v>
      </x:c>
    </x:row>
    <x:row r="234" ht="51" customHeight="1">
      <x:c r="A234" s="26" t="str">
        <x:v>AIX-16</x:v>
      </x:c>
      <x:c r="B234" s="26" t="str">
        <x:v>AIX</x:v>
      </x:c>
      <x:c r="C234" s="26" t="str">
        <x:v>No-training and provider control</x:v>
      </x:c>
      <x:c r="D234" s="26" t="str">
        <x:v>SHOULD</x:v>
      </x:c>
      <x:c r="E234" s="26" t="str">
        <x:v>ENTERPRISE</x:v>
      </x:c>
      <x:c r="F234" s="26" t="str">
        <x:v>R03</x:v>
      </x:c>
      <x:c r="G234" s="26" t="str">
        <x:v>R35, R34, R29</x:v>
      </x:c>
      <x:c r="H234" s="26" t="str">
        <x:v>R40</x:v>
      </x:c>
      <x:c r="I234" s="26" t="str">
        <x:v>R19 / R40</x:v>
      </x:c>
      <x:c r="J234" s="26" t="str">
        <x:v>Not started</x:v>
      </x:c>
      <x:c r="K234" s="26" t="str"/>
      <x:c r="L234" s="26" t="str">
        <x:v>High</x:v>
      </x:c>
    </x:row>
    <x:row r="235" ht="51" customHeight="1">
      <x:c r="A235" s="26" t="str">
        <x:v>AIX-17</x:v>
      </x:c>
      <x:c r="B235" s="26" t="str">
        <x:v>AIX</x:v>
      </x:c>
      <x:c r="C235" s="26" t="str">
        <x:v>AI accuracy and evaluation suite</x:v>
      </x:c>
      <x:c r="D235" s="26" t="str">
        <x:v>SHOULD</x:v>
      </x:c>
      <x:c r="E235" s="26" t="str">
        <x:v>ENTERPRISE</x:v>
      </x:c>
      <x:c r="F235" s="26" t="str">
        <x:v>R03</x:v>
      </x:c>
      <x:c r="G235" s="26" t="str">
        <x:v>R35, R34, R29</x:v>
      </x:c>
      <x:c r="H235" s="26" t="str">
        <x:v>R40</x:v>
      </x:c>
      <x:c r="I235" s="26" t="str">
        <x:v>R19 / R40</x:v>
      </x:c>
      <x:c r="J235" s="26" t="str">
        <x:v>Not started</x:v>
      </x:c>
      <x:c r="K235" s="26" t="str"/>
      <x:c r="L235" s="26" t="str">
        <x:v>High</x:v>
      </x:c>
    </x:row>
    <x:row r="236" ht="51" customHeight="1">
      <x:c r="A236" s="26" t="str">
        <x:v>L10-01</x:v>
      </x:c>
      <x:c r="B236" s="26" t="str">
        <x:v>L10</x:v>
      </x:c>
      <x:c r="C236" s="26" t="str">
        <x:v>Thirteen-language interface coverage</x:v>
      </x:c>
      <x:c r="D236" s="26" t="str">
        <x:v>MUST</x:v>
      </x:c>
      <x:c r="E236" s="26" t="str">
        <x:v>CORE</x:v>
      </x:c>
      <x:c r="F236" s="26" t="str">
        <x:v>R17</x:v>
      </x:c>
      <x:c r="G236" s="26" t="str">
        <x:v>R30, R37, R43</x:v>
      </x:c>
      <x:c r="H236" s="26" t="str">
        <x:v>R40</x:v>
      </x:c>
      <x:c r="I236" s="26" t="str">
        <x:v>R18</x:v>
      </x:c>
      <x:c r="J236" s="26" t="str">
        <x:v>Not started</x:v>
      </x:c>
      <x:c r="K236" s="26" t="str"/>
      <x:c r="L236" s="26" t="str">
        <x:v>High</x:v>
      </x:c>
    </x:row>
    <x:row r="237" ht="51" customHeight="1">
      <x:c r="A237" s="26" t="str">
        <x:v>L10-02</x:v>
      </x:c>
      <x:c r="B237" s="26" t="str">
        <x:v>L10</x:v>
      </x:c>
      <x:c r="C237" s="26" t="str">
        <x:v>Explicit regional locales</x:v>
      </x:c>
      <x:c r="D237" s="26" t="str">
        <x:v>MUST</x:v>
      </x:c>
      <x:c r="E237" s="26" t="str">
        <x:v>CORE</x:v>
      </x:c>
      <x:c r="F237" s="26" t="str">
        <x:v>R17</x:v>
      </x:c>
      <x:c r="G237" s="26" t="str">
        <x:v>R30, R37, R43</x:v>
      </x:c>
      <x:c r="H237" s="26" t="str">
        <x:v>R40</x:v>
      </x:c>
      <x:c r="I237" s="26" t="str">
        <x:v>R18</x:v>
      </x:c>
      <x:c r="J237" s="26" t="str">
        <x:v>Not started</x:v>
      </x:c>
      <x:c r="K237" s="26" t="str"/>
      <x:c r="L237" s="26" t="str">
        <x:v>High</x:v>
      </x:c>
    </x:row>
    <x:row r="238" ht="51" customHeight="1">
      <x:c r="A238" s="26" t="str">
        <x:v>L10-03</x:v>
      </x:c>
      <x:c r="B238" s="26" t="str">
        <x:v>L10</x:v>
      </x:c>
      <x:c r="C238" s="26" t="str">
        <x:v>Persian RTL layout</x:v>
      </x:c>
      <x:c r="D238" s="26" t="str">
        <x:v>MUST</x:v>
      </x:c>
      <x:c r="E238" s="26" t="str">
        <x:v>CORE</x:v>
      </x:c>
      <x:c r="F238" s="26" t="str">
        <x:v>R17</x:v>
      </x:c>
      <x:c r="G238" s="26" t="str">
        <x:v>R30, R37, R43</x:v>
      </x:c>
      <x:c r="H238" s="26" t="str">
        <x:v>R40</x:v>
      </x:c>
      <x:c r="I238" s="26" t="str">
        <x:v>R18</x:v>
      </x:c>
      <x:c r="J238" s="26" t="str">
        <x:v>Not started</x:v>
      </x:c>
      <x:c r="K238" s="26" t="str"/>
      <x:c r="L238" s="26" t="str">
        <x:v>High</x:v>
      </x:c>
    </x:row>
    <x:row r="239" ht="51" customHeight="1">
      <x:c r="A239" s="26" t="str">
        <x:v>L10-04</x:v>
      </x:c>
      <x:c r="B239" s="26" t="str">
        <x:v>L10</x:v>
      </x:c>
      <x:c r="C239" s="26" t="str">
        <x:v>Arabic RTL layout</x:v>
      </x:c>
      <x:c r="D239" s="26" t="str">
        <x:v>MUST</x:v>
      </x:c>
      <x:c r="E239" s="26" t="str">
        <x:v>CORE</x:v>
      </x:c>
      <x:c r="F239" s="26" t="str">
        <x:v>R17</x:v>
      </x:c>
      <x:c r="G239" s="26" t="str">
        <x:v>R30, R37, R43</x:v>
      </x:c>
      <x:c r="H239" s="26" t="str">
        <x:v>R40</x:v>
      </x:c>
      <x:c r="I239" s="26" t="str">
        <x:v>R18</x:v>
      </x:c>
      <x:c r="J239" s="26" t="str">
        <x:v>Not started</x:v>
      </x:c>
      <x:c r="K239" s="26" t="str"/>
      <x:c r="L239" s="26" t="str">
        <x:v>High</x:v>
      </x:c>
    </x:row>
    <x:row r="240" ht="51" customHeight="1">
      <x:c r="A240" s="26" t="str">
        <x:v>L10-05</x:v>
      </x:c>
      <x:c r="B240" s="26" t="str">
        <x:v>L10</x:v>
      </x:c>
      <x:c r="C240" s="26" t="str">
        <x:v>Unicode and filename handling</x:v>
      </x:c>
      <x:c r="D240" s="26" t="str">
        <x:v>MUST</x:v>
      </x:c>
      <x:c r="E240" s="26" t="str">
        <x:v>CORE</x:v>
      </x:c>
      <x:c r="F240" s="26" t="str">
        <x:v>R17</x:v>
      </x:c>
      <x:c r="G240" s="26" t="str">
        <x:v>R30, R37, R43</x:v>
      </x:c>
      <x:c r="H240" s="26" t="str">
        <x:v>R40</x:v>
      </x:c>
      <x:c r="I240" s="26" t="str">
        <x:v>R18</x:v>
      </x:c>
      <x:c r="J240" s="26" t="str">
        <x:v>Not started</x:v>
      </x:c>
      <x:c r="K240" s="26" t="str"/>
      <x:c r="L240" s="26" t="str">
        <x:v>High</x:v>
      </x:c>
    </x:row>
    <x:row r="241" ht="51" customHeight="1">
      <x:c r="A241" s="26" t="str">
        <x:v>L10-06</x:v>
      </x:c>
      <x:c r="B241" s="26" t="str">
        <x:v>L10</x:v>
      </x:c>
      <x:c r="C241" s="26" t="str">
        <x:v>Translated system notifications</x:v>
      </x:c>
      <x:c r="D241" s="26" t="str">
        <x:v>MUST</x:v>
      </x:c>
      <x:c r="E241" s="26" t="str">
        <x:v>CORE</x:v>
      </x:c>
      <x:c r="F241" s="26" t="str">
        <x:v>R17</x:v>
      </x:c>
      <x:c r="G241" s="26" t="str">
        <x:v>R30, R37, R43</x:v>
      </x:c>
      <x:c r="H241" s="26" t="str">
        <x:v>R40</x:v>
      </x:c>
      <x:c r="I241" s="26" t="str">
        <x:v>R18</x:v>
      </x:c>
      <x:c r="J241" s="26" t="str">
        <x:v>Not started</x:v>
      </x:c>
      <x:c r="K241" s="26" t="str"/>
      <x:c r="L241" s="26" t="str">
        <x:v>High</x:v>
      </x:c>
    </x:row>
    <x:row r="242" ht="51" customHeight="1">
      <x:c r="A242" s="26" t="str">
        <x:v>L10-07</x:v>
      </x:c>
      <x:c r="B242" s="26" t="str">
        <x:v>L10</x:v>
      </x:c>
      <x:c r="C242" s="26" t="str">
        <x:v>Date, number and calendar localization</x:v>
      </x:c>
      <x:c r="D242" s="26" t="str">
        <x:v>MUST</x:v>
      </x:c>
      <x:c r="E242" s="26" t="str">
        <x:v>CORE</x:v>
      </x:c>
      <x:c r="F242" s="26" t="str">
        <x:v>R17</x:v>
      </x:c>
      <x:c r="G242" s="26" t="str">
        <x:v>R30, R37, R43</x:v>
      </x:c>
      <x:c r="H242" s="26" t="str">
        <x:v>R40</x:v>
      </x:c>
      <x:c r="I242" s="26" t="str">
        <x:v>R18</x:v>
      </x:c>
      <x:c r="J242" s="26" t="str">
        <x:v>Not started</x:v>
      </x:c>
      <x:c r="K242" s="26" t="str"/>
      <x:c r="L242" s="26" t="str">
        <x:v>High</x:v>
      </x:c>
    </x:row>
    <x:row r="243" ht="51" customHeight="1">
      <x:c r="A243" s="26" t="str">
        <x:v>L10-08</x:v>
      </x:c>
      <x:c r="B243" s="26" t="str">
        <x:v>L10</x:v>
      </x:c>
      <x:c r="C243" s="26" t="str">
        <x:v>Localized metadata labels</x:v>
      </x:c>
      <x:c r="D243" s="26" t="str">
        <x:v>SHOULD</x:v>
      </x:c>
      <x:c r="E243" s="26" t="str">
        <x:v>ENTERPRISE</x:v>
      </x:c>
      <x:c r="F243" s="26" t="str">
        <x:v>R17</x:v>
      </x:c>
      <x:c r="G243" s="26" t="str">
        <x:v>R30, R37, R43</x:v>
      </x:c>
      <x:c r="H243" s="26" t="str">
        <x:v>R40</x:v>
      </x:c>
      <x:c r="I243" s="26" t="str">
        <x:v>R18</x:v>
      </x:c>
      <x:c r="J243" s="26" t="str">
        <x:v>Not started</x:v>
      </x:c>
      <x:c r="K243" s="26" t="str"/>
      <x:c r="L243" s="26" t="str">
        <x:v>High</x:v>
      </x:c>
    </x:row>
    <x:row r="244" ht="51" customHeight="1">
      <x:c r="A244" s="26" t="str">
        <x:v>L10-09</x:v>
      </x:c>
      <x:c r="B244" s="26" t="str">
        <x:v>L10</x:v>
      </x:c>
      <x:c r="C244" s="26" t="str">
        <x:v>Language-specific content versions</x:v>
      </x:c>
      <x:c r="D244" s="26" t="str">
        <x:v>SHOULD</x:v>
      </x:c>
      <x:c r="E244" s="26" t="str">
        <x:v>ENTERPRISE</x:v>
      </x:c>
      <x:c r="F244" s="26" t="str">
        <x:v>R17</x:v>
      </x:c>
      <x:c r="G244" s="26" t="str">
        <x:v>R30, R37, R43</x:v>
      </x:c>
      <x:c r="H244" s="26" t="str">
        <x:v>R40</x:v>
      </x:c>
      <x:c r="I244" s="26" t="str">
        <x:v>R18</x:v>
      </x:c>
      <x:c r="J244" s="26" t="str">
        <x:v>Not started</x:v>
      </x:c>
      <x:c r="K244" s="26" t="str"/>
      <x:c r="L244" s="26" t="str">
        <x:v>High</x:v>
      </x:c>
    </x:row>
    <x:row r="245" ht="51" customHeight="1">
      <x:c r="A245" s="26" t="str">
        <x:v>L10-10</x:v>
      </x:c>
      <x:c r="B245" s="26" t="str">
        <x:v>L10</x:v>
      </x:c>
      <x:c r="C245" s="26" t="str">
        <x:v>Full text direction testing</x:v>
      </x:c>
      <x:c r="D245" s="26" t="str">
        <x:v>MUST</x:v>
      </x:c>
      <x:c r="E245" s="26" t="str">
        <x:v>CORE</x:v>
      </x:c>
      <x:c r="F245" s="26" t="str">
        <x:v>R17</x:v>
      </x:c>
      <x:c r="G245" s="26" t="str">
        <x:v>R30, R37, R43</x:v>
      </x:c>
      <x:c r="H245" s="26" t="str">
        <x:v>R40</x:v>
      </x:c>
      <x:c r="I245" s="26" t="str">
        <x:v>R18</x:v>
      </x:c>
      <x:c r="J245" s="26" t="str">
        <x:v>Not started</x:v>
      </x:c>
      <x:c r="K245" s="26" t="str"/>
      <x:c r="L245" s="26" t="str">
        <x:v>High</x:v>
      </x:c>
    </x:row>
    <x:row r="246" ht="51" customHeight="1">
      <x:c r="A246" s="26" t="str">
        <x:v>L10-11</x:v>
      </x:c>
      <x:c r="B246" s="26" t="str">
        <x:v>L10</x:v>
      </x:c>
      <x:c r="C246" s="26" t="str">
        <x:v>Screen-reader and keyboard access</x:v>
      </x:c>
      <x:c r="D246" s="26" t="str">
        <x:v>MUST</x:v>
      </x:c>
      <x:c r="E246" s="26" t="str">
        <x:v>CORE</x:v>
      </x:c>
      <x:c r="F246" s="26" t="str">
        <x:v>R17</x:v>
      </x:c>
      <x:c r="G246" s="26" t="str">
        <x:v>R30, R37, R43</x:v>
      </x:c>
      <x:c r="H246" s="26" t="str">
        <x:v>R40</x:v>
      </x:c>
      <x:c r="I246" s="26" t="str">
        <x:v>R18</x:v>
      </x:c>
      <x:c r="J246" s="26" t="str">
        <x:v>Not started</x:v>
      </x:c>
      <x:c r="K246" s="26" t="str"/>
      <x:c r="L246" s="26" t="str">
        <x:v>High</x:v>
      </x:c>
    </x:row>
    <x:row r="247" ht="51" customHeight="1">
      <x:c r="A247" s="26" t="str">
        <x:v>L10-12</x:v>
      </x:c>
      <x:c r="B247" s="26" t="str">
        <x:v>L10</x:v>
      </x:c>
      <x:c r="C247" s="26" t="str">
        <x:v>Font and script fallback</x:v>
      </x:c>
      <x:c r="D247" s="26" t="str">
        <x:v>MUST</x:v>
      </x:c>
      <x:c r="E247" s="26" t="str">
        <x:v>CORE</x:v>
      </x:c>
      <x:c r="F247" s="26" t="str">
        <x:v>R17</x:v>
      </x:c>
      <x:c r="G247" s="26" t="str">
        <x:v>R30, R37, R43</x:v>
      </x:c>
      <x:c r="H247" s="26" t="str">
        <x:v>R40</x:v>
      </x:c>
      <x:c r="I247" s="26" t="str">
        <x:v>R18</x:v>
      </x:c>
      <x:c r="J247" s="26" t="str">
        <x:v>Not started</x:v>
      </x:c>
      <x:c r="K247" s="26" t="str"/>
      <x:c r="L247" s="26" t="str">
        <x:v>High</x:v>
      </x:c>
    </x:row>
    <x:row r="248" ht="51" customHeight="1">
      <x:c r="A248" s="26" t="str">
        <x:v>L10-13</x:v>
      </x:c>
      <x:c r="B248" s="26" t="str">
        <x:v>L10</x:v>
      </x:c>
      <x:c r="C248" s="26" t="str">
        <x:v>Translation workflow</x:v>
      </x:c>
      <x:c r="D248" s="26" t="str">
        <x:v>MUST</x:v>
      </x:c>
      <x:c r="E248" s="26" t="str">
        <x:v>CORE</x:v>
      </x:c>
      <x:c r="F248" s="26" t="str">
        <x:v>R17</x:v>
      </x:c>
      <x:c r="G248" s="26" t="str">
        <x:v>R30, R37, R43</x:v>
      </x:c>
      <x:c r="H248" s="26" t="str">
        <x:v>R40</x:v>
      </x:c>
      <x:c r="I248" s="26" t="str">
        <x:v>R18</x:v>
      </x:c>
      <x:c r="J248" s="26" t="str">
        <x:v>Not started</x:v>
      </x:c>
      <x:c r="K248" s="26" t="str"/>
      <x:c r="L248" s="26" t="str">
        <x:v>High</x:v>
      </x:c>
    </x:row>
    <x:row r="249" ht="51" customHeight="1">
      <x:c r="A249" s="26" t="str">
        <x:v>L10-14</x:v>
      </x:c>
      <x:c r="B249" s="26" t="str">
        <x:v>L10</x:v>
      </x:c>
      <x:c r="C249" s="26" t="str">
        <x:v>Localized search behavior</x:v>
      </x:c>
      <x:c r="D249" s="26" t="str">
        <x:v>SHOULD</x:v>
      </x:c>
      <x:c r="E249" s="26" t="str">
        <x:v>ENTERPRISE</x:v>
      </x:c>
      <x:c r="F249" s="26" t="str">
        <x:v>R17</x:v>
      </x:c>
      <x:c r="G249" s="26" t="str">
        <x:v>R30, R37, R43</x:v>
      </x:c>
      <x:c r="H249" s="26" t="str">
        <x:v>R40</x:v>
      </x:c>
      <x:c r="I249" s="26" t="str">
        <x:v>R18</x:v>
      </x:c>
      <x:c r="J249" s="26" t="str">
        <x:v>Not started</x:v>
      </x:c>
      <x:c r="K249" s="26" t="str"/>
      <x:c r="L249" s="26" t="str">
        <x:v>High</x:v>
      </x:c>
    </x:row>
    <x:row r="250" ht="51" customHeight="1">
      <x:c r="A250" s="26" t="str">
        <x:v>L10-15</x:v>
      </x:c>
      <x:c r="B250" s="26" t="str">
        <x:v>L10</x:v>
      </x:c>
      <x:c r="C250" s="26" t="str">
        <x:v>Multi-script document production</x:v>
      </x:c>
      <x:c r="D250" s="26" t="str">
        <x:v>SHOULD</x:v>
      </x:c>
      <x:c r="E250" s="26" t="str">
        <x:v>ENTERPRISE</x:v>
      </x:c>
      <x:c r="F250" s="26" t="str">
        <x:v>R17</x:v>
      </x:c>
      <x:c r="G250" s="26" t="str">
        <x:v>R30, R37, R43</x:v>
      </x:c>
      <x:c r="H250" s="26" t="str">
        <x:v>R40</x:v>
      </x:c>
      <x:c r="I250" s="26" t="str">
        <x:v>R18</x:v>
      </x:c>
      <x:c r="J250" s="26" t="str">
        <x:v>Not started</x:v>
      </x:c>
      <x:c r="K250" s="26" t="str"/>
      <x:c r="L250" s="26" t="str">
        <x:v>High</x:v>
      </x:c>
    </x:row>
    <x:row r="251" ht="51" customHeight="1">
      <x:c r="A251" s="26" t="str">
        <x:v>API-01</x:v>
      </x:c>
      <x:c r="B251" s="26" t="str">
        <x:v>API</x:v>
      </x:c>
      <x:c r="C251" s="26" t="str">
        <x:v>Versioned REST API</x:v>
      </x:c>
      <x:c r="D251" s="26" t="str">
        <x:v>MUST</x:v>
      </x:c>
      <x:c r="E251" s="26" t="str">
        <x:v>CORE</x:v>
      </x:c>
      <x:c r="F251" s="26" t="str">
        <x:v>R07</x:v>
      </x:c>
      <x:c r="G251" s="26" t="str">
        <x:v>R36, R29, R28</x:v>
      </x:c>
      <x:c r="H251" s="26" t="str">
        <x:v>R40</x:v>
      </x:c>
      <x:c r="I251" s="26" t="str">
        <x:v>R24</x:v>
      </x:c>
      <x:c r="J251" s="26" t="str">
        <x:v>Not started</x:v>
      </x:c>
      <x:c r="K251" s="26" t="str"/>
      <x:c r="L251" s="26" t="str">
        <x:v>Critical</x:v>
      </x:c>
    </x:row>
    <x:row r="252" ht="51" customHeight="1">
      <x:c r="A252" s="26" t="str">
        <x:v>API-02</x:v>
      </x:c>
      <x:c r="B252" s="26" t="str">
        <x:v>API</x:v>
      </x:c>
      <x:c r="C252" s="26" t="str">
        <x:v>Webhook subscriptions</x:v>
      </x:c>
      <x:c r="D252" s="26" t="str">
        <x:v>SHOULD</x:v>
      </x:c>
      <x:c r="E252" s="26" t="str">
        <x:v>ENTERPRISE</x:v>
      </x:c>
      <x:c r="F252" s="26" t="str">
        <x:v>R07</x:v>
      </x:c>
      <x:c r="G252" s="26" t="str">
        <x:v>R36, R29, R28</x:v>
      </x:c>
      <x:c r="H252" s="26" t="str">
        <x:v>R40</x:v>
      </x:c>
      <x:c r="I252" s="26" t="str">
        <x:v>R24</x:v>
      </x:c>
      <x:c r="J252" s="26" t="str">
        <x:v>Not started</x:v>
      </x:c>
      <x:c r="K252" s="26" t="str"/>
      <x:c r="L252" s="26" t="str">
        <x:v>Critical</x:v>
      </x:c>
    </x:row>
    <x:row r="253" ht="51" customHeight="1">
      <x:c r="A253" s="26" t="str">
        <x:v>API-03</x:v>
      </x:c>
      <x:c r="B253" s="26" t="str">
        <x:v>API</x:v>
      </x:c>
      <x:c r="C253" s="26" t="str">
        <x:v>OIDC and SAML integration</x:v>
      </x:c>
      <x:c r="D253" s="26" t="str">
        <x:v>MUST</x:v>
      </x:c>
      <x:c r="E253" s="26" t="str">
        <x:v>CORE</x:v>
      </x:c>
      <x:c r="F253" s="26" t="str">
        <x:v>R07</x:v>
      </x:c>
      <x:c r="G253" s="26" t="str">
        <x:v>R36, R29, R28</x:v>
      </x:c>
      <x:c r="H253" s="26" t="str">
        <x:v>R40</x:v>
      </x:c>
      <x:c r="I253" s="26" t="str">
        <x:v>R24</x:v>
      </x:c>
      <x:c r="J253" s="26" t="str">
        <x:v>Not started</x:v>
      </x:c>
      <x:c r="K253" s="26" t="str"/>
      <x:c r="L253" s="26" t="str">
        <x:v>Critical</x:v>
      </x:c>
    </x:row>
    <x:row r="254" ht="51" customHeight="1">
      <x:c r="A254" s="26" t="str">
        <x:v>API-04</x:v>
      </x:c>
      <x:c r="B254" s="26" t="str">
        <x:v>API</x:v>
      </x:c>
      <x:c r="C254" s="26" t="str">
        <x:v>SCIM provisioning</x:v>
      </x:c>
      <x:c r="D254" s="26" t="str">
        <x:v>SHOULD</x:v>
      </x:c>
      <x:c r="E254" s="26" t="str">
        <x:v>ENTERPRISE</x:v>
      </x:c>
      <x:c r="F254" s="26" t="str">
        <x:v>R07</x:v>
      </x:c>
      <x:c r="G254" s="26" t="str">
        <x:v>R36, R29, R28</x:v>
      </x:c>
      <x:c r="H254" s="26" t="str">
        <x:v>R40</x:v>
      </x:c>
      <x:c r="I254" s="26" t="str">
        <x:v>R24</x:v>
      </x:c>
      <x:c r="J254" s="26" t="str">
        <x:v>Not started</x:v>
      </x:c>
      <x:c r="K254" s="26" t="str"/>
      <x:c r="L254" s="26" t="str">
        <x:v>Critical</x:v>
      </x:c>
    </x:row>
    <x:row r="255" ht="51" customHeight="1">
      <x:c r="A255" s="26" t="str">
        <x:v>API-05</x:v>
      </x:c>
      <x:c r="B255" s="26" t="str">
        <x:v>API</x:v>
      </x:c>
      <x:c r="C255" s="26" t="str">
        <x:v>Microsoft 365 integrations</x:v>
      </x:c>
      <x:c r="D255" s="26" t="str">
        <x:v>SHOULD</x:v>
      </x:c>
      <x:c r="E255" s="26" t="str">
        <x:v>ENTERPRISE</x:v>
      </x:c>
      <x:c r="F255" s="26" t="str">
        <x:v>R07</x:v>
      </x:c>
      <x:c r="G255" s="26" t="str">
        <x:v>R36, R29, R28</x:v>
      </x:c>
      <x:c r="H255" s="26" t="str">
        <x:v>R40</x:v>
      </x:c>
      <x:c r="I255" s="26" t="str">
        <x:v>R24</x:v>
      </x:c>
      <x:c r="J255" s="26" t="str">
        <x:v>Not started</x:v>
      </x:c>
      <x:c r="K255" s="26" t="str"/>
      <x:c r="L255" s="26" t="str">
        <x:v>Critical</x:v>
      </x:c>
    </x:row>
    <x:row r="256" ht="51" customHeight="1">
      <x:c r="A256" s="26" t="str">
        <x:v>API-06</x:v>
      </x:c>
      <x:c r="B256" s="26" t="str">
        <x:v>API</x:v>
      </x:c>
      <x:c r="C256" s="26" t="str">
        <x:v>Google Workspace integrations</x:v>
      </x:c>
      <x:c r="D256" s="26" t="str">
        <x:v>ADVANCED</x:v>
      </x:c>
      <x:c r="E256" s="26" t="str">
        <x:v>EXPANSION</x:v>
      </x:c>
      <x:c r="F256" s="26" t="str">
        <x:v>R07</x:v>
      </x:c>
      <x:c r="G256" s="26" t="str">
        <x:v>R36, R29, R28</x:v>
      </x:c>
      <x:c r="H256" s="26" t="str">
        <x:v>R40</x:v>
      </x:c>
      <x:c r="I256" s="26" t="str">
        <x:v>R24</x:v>
      </x:c>
      <x:c r="J256" s="26" t="str">
        <x:v>Not started</x:v>
      </x:c>
      <x:c r="K256" s="26" t="str"/>
      <x:c r="L256" s="26" t="str">
        <x:v>Critical</x:v>
      </x:c>
    </x:row>
    <x:row r="257" ht="51" customHeight="1">
      <x:c r="A257" s="26" t="str">
        <x:v>API-07</x:v>
      </x:c>
      <x:c r="B257" s="26" t="str">
        <x:v>API</x:v>
      </x:c>
      <x:c r="C257" s="26" t="str">
        <x:v>Business platform connectors</x:v>
      </x:c>
      <x:c r="D257" s="26" t="str">
        <x:v>SHOULD</x:v>
      </x:c>
      <x:c r="E257" s="26" t="str">
        <x:v>ENTERPRISE</x:v>
      </x:c>
      <x:c r="F257" s="26" t="str">
        <x:v>R07</x:v>
      </x:c>
      <x:c r="G257" s="26" t="str">
        <x:v>R36, R29, R28</x:v>
      </x:c>
      <x:c r="H257" s="26" t="str">
        <x:v>R40</x:v>
      </x:c>
      <x:c r="I257" s="26" t="str">
        <x:v>R24</x:v>
      </x:c>
      <x:c r="J257" s="26" t="str">
        <x:v>Not started</x:v>
      </x:c>
      <x:c r="K257" s="26" t="str"/>
      <x:c r="L257" s="26" t="str">
        <x:v>Critical</x:v>
      </x:c>
    </x:row>
    <x:row r="258" ht="51" customHeight="1">
      <x:c r="A258" s="26" t="str">
        <x:v>API-08</x:v>
      </x:c>
      <x:c r="B258" s="26" t="str">
        <x:v>API</x:v>
      </x:c>
      <x:c r="C258" s="26" t="str">
        <x:v>Messaging connectors</x:v>
      </x:c>
      <x:c r="D258" s="26" t="str">
        <x:v>SHOULD</x:v>
      </x:c>
      <x:c r="E258" s="26" t="str">
        <x:v>ENTERPRISE</x:v>
      </x:c>
      <x:c r="F258" s="26" t="str">
        <x:v>R07</x:v>
      </x:c>
      <x:c r="G258" s="26" t="str">
        <x:v>R36, R29, R28</x:v>
      </x:c>
      <x:c r="H258" s="26" t="str">
        <x:v>R40</x:v>
      </x:c>
      <x:c r="I258" s="26" t="str">
        <x:v>R24</x:v>
      </x:c>
      <x:c r="J258" s="26" t="str">
        <x:v>Not started</x:v>
      </x:c>
      <x:c r="K258" s="26" t="str"/>
      <x:c r="L258" s="26" t="str">
        <x:v>Critical</x:v>
      </x:c>
    </x:row>
    <x:row r="259" ht="51" customHeight="1">
      <x:c r="A259" s="26" t="str">
        <x:v>API-09</x:v>
      </x:c>
      <x:c r="B259" s="26" t="str">
        <x:v>API</x:v>
      </x:c>
      <x:c r="C259" s="26" t="str">
        <x:v>Document editor adapters</x:v>
      </x:c>
      <x:c r="D259" s="26" t="str">
        <x:v>SHOULD</x:v>
      </x:c>
      <x:c r="E259" s="26" t="str">
        <x:v>ENTERPRISE</x:v>
      </x:c>
      <x:c r="F259" s="26" t="str">
        <x:v>R07</x:v>
      </x:c>
      <x:c r="G259" s="26" t="str">
        <x:v>R36, R29, R28</x:v>
      </x:c>
      <x:c r="H259" s="26" t="str">
        <x:v>R40</x:v>
      </x:c>
      <x:c r="I259" s="26" t="str">
        <x:v>R24</x:v>
      </x:c>
      <x:c r="J259" s="26" t="str">
        <x:v>Not started</x:v>
      </x:c>
      <x:c r="K259" s="26" t="str"/>
      <x:c r="L259" s="26" t="str">
        <x:v>Critical</x:v>
      </x:c>
    </x:row>
    <x:row r="260" ht="51" customHeight="1">
      <x:c r="A260" s="26" t="str">
        <x:v>API-10</x:v>
      </x:c>
      <x:c r="B260" s="26" t="str">
        <x:v>API</x:v>
      </x:c>
      <x:c r="C260" s="26" t="str">
        <x:v>Storage adapter abstraction</x:v>
      </x:c>
      <x:c r="D260" s="26" t="str">
        <x:v>SHOULD</x:v>
      </x:c>
      <x:c r="E260" s="26" t="str">
        <x:v>ENTERPRISE</x:v>
      </x:c>
      <x:c r="F260" s="26" t="str">
        <x:v>R07</x:v>
      </x:c>
      <x:c r="G260" s="26" t="str">
        <x:v>R36, R29, R28</x:v>
      </x:c>
      <x:c r="H260" s="26" t="str">
        <x:v>R40</x:v>
      </x:c>
      <x:c r="I260" s="26" t="str">
        <x:v>R24</x:v>
      </x:c>
      <x:c r="J260" s="26" t="str">
        <x:v>Not started</x:v>
      </x:c>
      <x:c r="K260" s="26" t="str"/>
      <x:c r="L260" s="26" t="str">
        <x:v>Critical</x:v>
      </x:c>
    </x:row>
    <x:row r="261" ht="51" customHeight="1">
      <x:c r="A261" s="26" t="str">
        <x:v>API-11</x:v>
      </x:c>
      <x:c r="B261" s="26" t="str">
        <x:v>API</x:v>
      </x:c>
      <x:c r="C261" s="26" t="str">
        <x:v>Enterprise search connectors</x:v>
      </x:c>
      <x:c r="D261" s="26" t="str">
        <x:v>ADVANCED</x:v>
      </x:c>
      <x:c r="E261" s="26" t="str">
        <x:v>EXPANSION</x:v>
      </x:c>
      <x:c r="F261" s="26" t="str">
        <x:v>R07</x:v>
      </x:c>
      <x:c r="G261" s="26" t="str">
        <x:v>R36, R29, R28</x:v>
      </x:c>
      <x:c r="H261" s="26" t="str">
        <x:v>R40</x:v>
      </x:c>
      <x:c r="I261" s="26" t="str">
        <x:v>R24</x:v>
      </x:c>
      <x:c r="J261" s="26" t="str">
        <x:v>Not started</x:v>
      </x:c>
      <x:c r="K261" s="26" t="str"/>
      <x:c r="L261" s="26" t="str">
        <x:v>Critical</x:v>
      </x:c>
    </x:row>
    <x:row r="262" ht="51" customHeight="1">
      <x:c r="A262" s="26" t="str">
        <x:v>API-12</x:v>
      </x:c>
      <x:c r="B262" s="26" t="str">
        <x:v>API</x:v>
      </x:c>
      <x:c r="C262" s="26" t="str">
        <x:v>Event-driven integration bus</x:v>
      </x:c>
      <x:c r="D262" s="26" t="str">
        <x:v>SHOULD</x:v>
      </x:c>
      <x:c r="E262" s="26" t="str">
        <x:v>ENTERPRISE</x:v>
      </x:c>
      <x:c r="F262" s="26" t="str">
        <x:v>R07</x:v>
      </x:c>
      <x:c r="G262" s="26" t="str">
        <x:v>R36, R29, R28</x:v>
      </x:c>
      <x:c r="H262" s="26" t="str">
        <x:v>R40</x:v>
      </x:c>
      <x:c r="I262" s="26" t="str">
        <x:v>R24</x:v>
      </x:c>
      <x:c r="J262" s="26" t="str">
        <x:v>Not started</x:v>
      </x:c>
      <x:c r="K262" s="26" t="str"/>
      <x:c r="L262" s="26" t="str">
        <x:v>Critical</x:v>
      </x:c>
    </x:row>
    <x:row r="263" ht="51" customHeight="1">
      <x:c r="A263" s="26" t="str">
        <x:v>API-13</x:v>
      </x:c>
      <x:c r="B263" s="26" t="str">
        <x:v>API</x:v>
      </x:c>
      <x:c r="C263" s="26" t="str">
        <x:v>Import and export formats</x:v>
      </x:c>
      <x:c r="D263" s="26" t="str">
        <x:v>SHOULD</x:v>
      </x:c>
      <x:c r="E263" s="26" t="str">
        <x:v>ENTERPRISE</x:v>
      </x:c>
      <x:c r="F263" s="26" t="str">
        <x:v>R07</x:v>
      </x:c>
      <x:c r="G263" s="26" t="str">
        <x:v>R36, R29, R28</x:v>
      </x:c>
      <x:c r="H263" s="26" t="str">
        <x:v>R40</x:v>
      </x:c>
      <x:c r="I263" s="26" t="str">
        <x:v>R24</x:v>
      </x:c>
      <x:c r="J263" s="26" t="str">
        <x:v>Not started</x:v>
      </x:c>
      <x:c r="K263" s="26" t="str"/>
      <x:c r="L263" s="26" t="str">
        <x:v>Critical</x:v>
      </x:c>
    </x:row>
    <x:row r="264" ht="51" customHeight="1">
      <x:c r="A264" s="26" t="str">
        <x:v>API-14</x:v>
      </x:c>
      <x:c r="B264" s="26" t="str">
        <x:v>API</x:v>
      </x:c>
      <x:c r="C264" s="26" t="str">
        <x:v>Integration marketplace governance</x:v>
      </x:c>
      <x:c r="D264" s="26" t="str">
        <x:v>ADVANCED</x:v>
      </x:c>
      <x:c r="E264" s="26" t="str">
        <x:v>EXPANSION</x:v>
      </x:c>
      <x:c r="F264" s="26" t="str">
        <x:v>R07</x:v>
      </x:c>
      <x:c r="G264" s="26" t="str">
        <x:v>R36, R29, R28</x:v>
      </x:c>
      <x:c r="H264" s="26" t="str">
        <x:v>R40</x:v>
      </x:c>
      <x:c r="I264" s="26" t="str">
        <x:v>R24</x:v>
      </x:c>
      <x:c r="J264" s="26" t="str">
        <x:v>Not started</x:v>
      </x:c>
      <x:c r="K264" s="26" t="str"/>
      <x:c r="L264" s="26" t="str">
        <x:v>Critical</x:v>
      </x:c>
    </x:row>
    <x:row r="265" ht="51" customHeight="1">
      <x:c r="A265" s="26" t="str">
        <x:v>API-15</x:v>
      </x:c>
      <x:c r="B265" s="26" t="str">
        <x:v>API</x:v>
      </x:c>
      <x:c r="C265" s="26" t="str">
        <x:v>API throttling and metering</x:v>
      </x:c>
      <x:c r="D265" s="26" t="str">
        <x:v>MUST</x:v>
      </x:c>
      <x:c r="E265" s="26" t="str">
        <x:v>CORE</x:v>
      </x:c>
      <x:c r="F265" s="26" t="str">
        <x:v>R07</x:v>
      </x:c>
      <x:c r="G265" s="26" t="str">
        <x:v>R36, R29, R28</x:v>
      </x:c>
      <x:c r="H265" s="26" t="str">
        <x:v>R40</x:v>
      </x:c>
      <x:c r="I265" s="26" t="str">
        <x:v>R24</x:v>
      </x:c>
      <x:c r="J265" s="26" t="str">
        <x:v>Not started</x:v>
      </x:c>
      <x:c r="K265" s="26" t="str"/>
      <x:c r="L265" s="26" t="str">
        <x:v>Critical</x:v>
      </x:c>
    </x:row>
    <x:row r="266" ht="51" customHeight="1">
      <x:c r="A266" s="26" t="str">
        <x:v>API-16</x:v>
      </x:c>
      <x:c r="B266" s="26" t="str">
        <x:v>API</x:v>
      </x:c>
      <x:c r="C266" s="26" t="str">
        <x:v>Developer sandbox and test identities</x:v>
      </x:c>
      <x:c r="D266" s="26" t="str">
        <x:v>SHOULD</x:v>
      </x:c>
      <x:c r="E266" s="26" t="str">
        <x:v>ENTERPRISE</x:v>
      </x:c>
      <x:c r="F266" s="26" t="str">
        <x:v>R07</x:v>
      </x:c>
      <x:c r="G266" s="26" t="str">
        <x:v>R36, R29, R28</x:v>
      </x:c>
      <x:c r="H266" s="26" t="str">
        <x:v>R40</x:v>
      </x:c>
      <x:c r="I266" s="26" t="str">
        <x:v>R24</x:v>
      </x:c>
      <x:c r="J266" s="26" t="str">
        <x:v>Not started</x:v>
      </x:c>
      <x:c r="K266" s="26" t="str"/>
      <x:c r="L266" s="26" t="str">
        <x:v>Critical</x:v>
      </x:c>
    </x:row>
    <x:row r="267" ht="51" customHeight="1">
      <x:c r="A267" s="26" t="str">
        <x:v>API-17</x:v>
      </x:c>
      <x:c r="B267" s="26" t="str">
        <x:v>API</x:v>
      </x:c>
      <x:c r="C267" s="26" t="str">
        <x:v>WordPress bridge API</x:v>
      </x:c>
      <x:c r="D267" s="26" t="str">
        <x:v>MUST</x:v>
      </x:c>
      <x:c r="E267" s="26" t="str">
        <x:v>CORE</x:v>
      </x:c>
      <x:c r="F267" s="26" t="str">
        <x:v>R07</x:v>
      </x:c>
      <x:c r="G267" s="26" t="str">
        <x:v>R36, R29, R28</x:v>
      </x:c>
      <x:c r="H267" s="26" t="str">
        <x:v>R40</x:v>
      </x:c>
      <x:c r="I267" s="26" t="str">
        <x:v>R24</x:v>
      </x:c>
      <x:c r="J267" s="26" t="str">
        <x:v>Not started</x:v>
      </x:c>
      <x:c r="K267" s="26" t="str"/>
      <x:c r="L267" s="26" t="str">
        <x:v>Critical</x:v>
      </x:c>
    </x:row>
    <x:row r="268" ht="51" customHeight="1">
      <x:c r="A268" s="26" t="str">
        <x:v>UX-01</x:v>
      </x:c>
      <x:c r="B268" s="26" t="str">
        <x:v>UX</x:v>
      </x:c>
      <x:c r="C268" s="26" t="str">
        <x:v>Role-specific dashboard</x:v>
      </x:c>
      <x:c r="D268" s="26" t="str">
        <x:v>MUST</x:v>
      </x:c>
      <x:c r="E268" s="26" t="str">
        <x:v>CORE</x:v>
      </x:c>
      <x:c r="F268" s="26" t="str">
        <x:v>R16</x:v>
      </x:c>
      <x:c r="G268" s="26" t="str">
        <x:v>R30, R37</x:v>
      </x:c>
      <x:c r="H268" s="26" t="str">
        <x:v>R40</x:v>
      </x:c>
      <x:c r="I268" s="26" t="str">
        <x:v>R19 / R40</x:v>
      </x:c>
      <x:c r="J268" s="26" t="str">
        <x:v>Not started</x:v>
      </x:c>
      <x:c r="K268" s="26" t="str"/>
      <x:c r="L268" s="26" t="str">
        <x:v>High</x:v>
      </x:c>
    </x:row>
    <x:row r="269" ht="51" customHeight="1">
      <x:c r="A269" s="26" t="str">
        <x:v>UX-02</x:v>
      </x:c>
      <x:c r="B269" s="26" t="str">
        <x:v>UX</x:v>
      </x:c>
      <x:c r="C269" s="26" t="str">
        <x:v>Tenant-branded workspace</x:v>
      </x:c>
      <x:c r="D269" s="26" t="str">
        <x:v>SHOULD</x:v>
      </x:c>
      <x:c r="E269" s="26" t="str">
        <x:v>ENTERPRISE</x:v>
      </x:c>
      <x:c r="F269" s="26" t="str">
        <x:v>R16</x:v>
      </x:c>
      <x:c r="G269" s="26" t="str">
        <x:v>R30, R37</x:v>
      </x:c>
      <x:c r="H269" s="26" t="str">
        <x:v>R40</x:v>
      </x:c>
      <x:c r="I269" s="26" t="str">
        <x:v>R19 / R40</x:v>
      </x:c>
      <x:c r="J269" s="26" t="str">
        <x:v>Not started</x:v>
      </x:c>
      <x:c r="K269" s="26" t="str"/>
      <x:c r="L269" s="26" t="str">
        <x:v>High</x:v>
      </x:c>
    </x:row>
    <x:row r="270" ht="51" customHeight="1">
      <x:c r="A270" s="26" t="str">
        <x:v>UX-03</x:v>
      </x:c>
      <x:c r="B270" s="26" t="str">
        <x:v>UX</x:v>
      </x:c>
      <x:c r="C270" s="26" t="str">
        <x:v>Responsive file explorer</x:v>
      </x:c>
      <x:c r="D270" s="26" t="str">
        <x:v>MUST</x:v>
      </x:c>
      <x:c r="E270" s="26" t="str">
        <x:v>CORE</x:v>
      </x:c>
      <x:c r="F270" s="26" t="str">
        <x:v>R16</x:v>
      </x:c>
      <x:c r="G270" s="26" t="str">
        <x:v>R30, R37</x:v>
      </x:c>
      <x:c r="H270" s="26" t="str">
        <x:v>R40</x:v>
      </x:c>
      <x:c r="I270" s="26" t="str">
        <x:v>R19 / R40</x:v>
      </x:c>
      <x:c r="J270" s="26" t="str">
        <x:v>Not started</x:v>
      </x:c>
      <x:c r="K270" s="26" t="str"/>
      <x:c r="L270" s="26" t="str">
        <x:v>High</x:v>
      </x:c>
    </x:row>
    <x:row r="271" ht="51" customHeight="1">
      <x:c r="A271" s="26" t="str">
        <x:v>UX-04</x:v>
      </x:c>
      <x:c r="B271" s="26" t="str">
        <x:v>UX</x:v>
      </x:c>
      <x:c r="C271" s="26" t="str">
        <x:v>Unified task and notification center</x:v>
      </x:c>
      <x:c r="D271" s="26" t="str">
        <x:v>MUST</x:v>
      </x:c>
      <x:c r="E271" s="26" t="str">
        <x:v>CORE</x:v>
      </x:c>
      <x:c r="F271" s="26" t="str">
        <x:v>R16</x:v>
      </x:c>
      <x:c r="G271" s="26" t="str">
        <x:v>R30, R37</x:v>
      </x:c>
      <x:c r="H271" s="26" t="str">
        <x:v>R40</x:v>
      </x:c>
      <x:c r="I271" s="26" t="str">
        <x:v>R19 / R40</x:v>
      </x:c>
      <x:c r="J271" s="26" t="str">
        <x:v>Not started</x:v>
      </x:c>
      <x:c r="K271" s="26" t="str"/>
      <x:c r="L271" s="26" t="str">
        <x:v>High</x:v>
      </x:c>
    </x:row>
    <x:row r="272" ht="51" customHeight="1">
      <x:c r="A272" s="26" t="str">
        <x:v>UX-05</x:v>
      </x:c>
      <x:c r="B272" s="26" t="str">
        <x:v>UX</x:v>
      </x:c>
      <x:c r="C272" s="26" t="str">
        <x:v>Custom dashboard widgets</x:v>
      </x:c>
      <x:c r="D272" s="26" t="str">
        <x:v>SHOULD</x:v>
      </x:c>
      <x:c r="E272" s="26" t="str">
        <x:v>ENTERPRISE</x:v>
      </x:c>
      <x:c r="F272" s="26" t="str">
        <x:v>R16</x:v>
      </x:c>
      <x:c r="G272" s="26" t="str">
        <x:v>R30, R37</x:v>
      </x:c>
      <x:c r="H272" s="26" t="str">
        <x:v>R40</x:v>
      </x:c>
      <x:c r="I272" s="26" t="str">
        <x:v>R19 / R40</x:v>
      </x:c>
      <x:c r="J272" s="26" t="str">
        <x:v>Not started</x:v>
      </x:c>
      <x:c r="K272" s="26" t="str"/>
      <x:c r="L272" s="26" t="str">
        <x:v>High</x:v>
      </x:c>
    </x:row>
    <x:row r="273" ht="51" customHeight="1">
      <x:c r="A273" s="26" t="str">
        <x:v>UX-06</x:v>
      </x:c>
      <x:c r="B273" s="26" t="str">
        <x:v>UX</x:v>
      </x:c>
      <x:c r="C273" s="26" t="str">
        <x:v>Advanced table and bulk actions</x:v>
      </x:c>
      <x:c r="D273" s="26" t="str">
        <x:v>SHOULD</x:v>
      </x:c>
      <x:c r="E273" s="26" t="str">
        <x:v>ENTERPRISE</x:v>
      </x:c>
      <x:c r="F273" s="26" t="str">
        <x:v>R16</x:v>
      </x:c>
      <x:c r="G273" s="26" t="str">
        <x:v>R30, R37</x:v>
      </x:c>
      <x:c r="H273" s="26" t="str">
        <x:v>R40</x:v>
      </x:c>
      <x:c r="I273" s="26" t="str">
        <x:v>R19 / R40</x:v>
      </x:c>
      <x:c r="J273" s="26" t="str">
        <x:v>Not started</x:v>
      </x:c>
      <x:c r="K273" s="26" t="str"/>
      <x:c r="L273" s="26" t="str">
        <x:v>High</x:v>
      </x:c>
    </x:row>
    <x:row r="274" ht="51" customHeight="1">
      <x:c r="A274" s="26" t="str">
        <x:v>UX-07</x:v>
      </x:c>
      <x:c r="B274" s="26" t="str">
        <x:v>UX</x:v>
      </x:c>
      <x:c r="C274" s="26" t="str">
        <x:v>Contextual permissions explanation</x:v>
      </x:c>
      <x:c r="D274" s="26" t="str">
        <x:v>SHOULD</x:v>
      </x:c>
      <x:c r="E274" s="26" t="str">
        <x:v>ENTERPRISE</x:v>
      </x:c>
      <x:c r="F274" s="26" t="str">
        <x:v>R16</x:v>
      </x:c>
      <x:c r="G274" s="26" t="str">
        <x:v>R30, R37</x:v>
      </x:c>
      <x:c r="H274" s="26" t="str">
        <x:v>R40</x:v>
      </x:c>
      <x:c r="I274" s="26" t="str">
        <x:v>R19 / R40</x:v>
      </x:c>
      <x:c r="J274" s="26" t="str">
        <x:v>Not started</x:v>
      </x:c>
      <x:c r="K274" s="26" t="str"/>
      <x:c r="L274" s="26" t="str">
        <x:v>High</x:v>
      </x:c>
    </x:row>
    <x:row r="275" ht="51" customHeight="1">
      <x:c r="A275" s="26" t="str">
        <x:v>UX-08</x:v>
      </x:c>
      <x:c r="B275" s="26" t="str">
        <x:v>UX</x:v>
      </x:c>
      <x:c r="C275" s="26" t="str">
        <x:v>Universal command and quick navigation</x:v>
      </x:c>
      <x:c r="D275" s="26" t="str">
        <x:v>SHOULD</x:v>
      </x:c>
      <x:c r="E275" s="26" t="str">
        <x:v>ENTERPRISE</x:v>
      </x:c>
      <x:c r="F275" s="26" t="str">
        <x:v>R16</x:v>
      </x:c>
      <x:c r="G275" s="26" t="str">
        <x:v>R30, R37</x:v>
      </x:c>
      <x:c r="H275" s="26" t="str">
        <x:v>R40</x:v>
      </x:c>
      <x:c r="I275" s="26" t="str">
        <x:v>R19 / R40</x:v>
      </x:c>
      <x:c r="J275" s="26" t="str">
        <x:v>Not started</x:v>
      </x:c>
      <x:c r="K275" s="26" t="str"/>
      <x:c r="L275" s="26" t="str">
        <x:v>High</x:v>
      </x:c>
    </x:row>
    <x:row r="276" ht="51" customHeight="1">
      <x:c r="A276" s="26" t="str">
        <x:v>UX-09</x:v>
      </x:c>
      <x:c r="B276" s="26" t="str">
        <x:v>UX</x:v>
      </x:c>
      <x:c r="C276" s="26" t="str">
        <x:v>Accessible notification preferences</x:v>
      </x:c>
      <x:c r="D276" s="26" t="str">
        <x:v>SHOULD</x:v>
      </x:c>
      <x:c r="E276" s="26" t="str">
        <x:v>ENTERPRISE</x:v>
      </x:c>
      <x:c r="F276" s="26" t="str">
        <x:v>R16</x:v>
      </x:c>
      <x:c r="G276" s="26" t="str">
        <x:v>R30, R37</x:v>
      </x:c>
      <x:c r="H276" s="26" t="str">
        <x:v>R40</x:v>
      </x:c>
      <x:c r="I276" s="26" t="str">
        <x:v>R19 / R40</x:v>
      </x:c>
      <x:c r="J276" s="26" t="str">
        <x:v>Not started</x:v>
      </x:c>
      <x:c r="K276" s="26" t="str"/>
      <x:c r="L276" s="26" t="str">
        <x:v>High</x:v>
      </x:c>
    </x:row>
    <x:row r="277" ht="51" customHeight="1">
      <x:c r="A277" s="26" t="str">
        <x:v>UX-10</x:v>
      </x:c>
      <x:c r="B277" s="26" t="str">
        <x:v>UX</x:v>
      </x:c>
      <x:c r="C277" s="26" t="str">
        <x:v>Inline help and interactive onboarding</x:v>
      </x:c>
      <x:c r="D277" s="26" t="str">
        <x:v>SHOULD</x:v>
      </x:c>
      <x:c r="E277" s="26" t="str">
        <x:v>ENTERPRISE</x:v>
      </x:c>
      <x:c r="F277" s="26" t="str">
        <x:v>R16</x:v>
      </x:c>
      <x:c r="G277" s="26" t="str">
        <x:v>R30, R37</x:v>
      </x:c>
      <x:c r="H277" s="26" t="str">
        <x:v>R40</x:v>
      </x:c>
      <x:c r="I277" s="26" t="str">
        <x:v>R19 / R40</x:v>
      </x:c>
      <x:c r="J277" s="26" t="str">
        <x:v>Not started</x:v>
      </x:c>
      <x:c r="K277" s="26" t="str"/>
      <x:c r="L277" s="26" t="str">
        <x:v>High</x:v>
      </x:c>
    </x:row>
    <x:row r="278" ht="51" customHeight="1">
      <x:c r="A278" s="26" t="str">
        <x:v>UX-11</x:v>
      </x:c>
      <x:c r="B278" s="26" t="str">
        <x:v>UX</x:v>
      </x:c>
      <x:c r="C278" s="26" t="str">
        <x:v>Personalized saved workspaces</x:v>
      </x:c>
      <x:c r="D278" s="26" t="str">
        <x:v>SHOULD</x:v>
      </x:c>
      <x:c r="E278" s="26" t="str">
        <x:v>ENTERPRISE</x:v>
      </x:c>
      <x:c r="F278" s="26" t="str">
        <x:v>R16</x:v>
      </x:c>
      <x:c r="G278" s="26" t="str">
        <x:v>R30, R37</x:v>
      </x:c>
      <x:c r="H278" s="26" t="str">
        <x:v>R40</x:v>
      </x:c>
      <x:c r="I278" s="26" t="str">
        <x:v>R19 / R40</x:v>
      </x:c>
      <x:c r="J278" s="26" t="str">
        <x:v>Not started</x:v>
      </x:c>
      <x:c r="K278" s="26" t="str"/>
      <x:c r="L278" s="26" t="str">
        <x:v>High</x:v>
      </x:c>
    </x:row>
    <x:row r="279" ht="51" customHeight="1">
      <x:c r="A279" s="26" t="str">
        <x:v>UX-12</x:v>
      </x:c>
      <x:c r="B279" s="26" t="str">
        <x:v>UX</x:v>
      </x:c>
      <x:c r="C279" s="26" t="str">
        <x:v>Keyboard shortcuts and efficiency</x:v>
      </x:c>
      <x:c r="D279" s="26" t="str">
        <x:v>ADVANCED</x:v>
      </x:c>
      <x:c r="E279" s="26" t="str">
        <x:v>EXPANSION</x:v>
      </x:c>
      <x:c r="F279" s="26" t="str">
        <x:v>R16</x:v>
      </x:c>
      <x:c r="G279" s="26" t="str">
        <x:v>R30, R37</x:v>
      </x:c>
      <x:c r="H279" s="26" t="str">
        <x:v>R40</x:v>
      </x:c>
      <x:c r="I279" s="26" t="str">
        <x:v>R19 / R40</x:v>
      </x:c>
      <x:c r="J279" s="26" t="str">
        <x:v>Not started</x:v>
      </x:c>
      <x:c r="K279" s="26" t="str"/>
      <x:c r="L279" s="26" t="str">
        <x:v>High</x:v>
      </x:c>
    </x:row>
    <x:row r="280" ht="51" customHeight="1">
      <x:c r="A280" s="26" t="str">
        <x:v>UX-13</x:v>
      </x:c>
      <x:c r="B280" s="26" t="str">
        <x:v>UX</x:v>
      </x:c>
      <x:c r="C280" s="26" t="str">
        <x:v>Guided error handling</x:v>
      </x:c>
      <x:c r="D280" s="26" t="str">
        <x:v>MUST</x:v>
      </x:c>
      <x:c r="E280" s="26" t="str">
        <x:v>CORE</x:v>
      </x:c>
      <x:c r="F280" s="26" t="str">
        <x:v>R16</x:v>
      </x:c>
      <x:c r="G280" s="26" t="str">
        <x:v>R30, R37</x:v>
      </x:c>
      <x:c r="H280" s="26" t="str">
        <x:v>R40</x:v>
      </x:c>
      <x:c r="I280" s="26" t="str">
        <x:v>R19 / R40</x:v>
      </x:c>
      <x:c r="J280" s="26" t="str">
        <x:v>Not started</x:v>
      </x:c>
      <x:c r="K280" s="26" t="str"/>
      <x:c r="L280" s="26" t="str">
        <x:v>High</x:v>
      </x:c>
    </x:row>
    <x:row r="281" ht="51" customHeight="1">
      <x:c r="A281" s="26" t="str">
        <x:v>MOB-01</x:v>
      </x:c>
      <x:c r="B281" s="26" t="str">
        <x:v>MOB</x:v>
      </x:c>
      <x:c r="C281" s="26" t="str">
        <x:v>Mobile-responsive secure web application</x:v>
      </x:c>
      <x:c r="D281" s="26" t="str">
        <x:v>MUST</x:v>
      </x:c>
      <x:c r="E281" s="26" t="str">
        <x:v>CORE</x:v>
      </x:c>
      <x:c r="F281" s="26" t="str">
        <x:v>R37</x:v>
      </x:c>
      <x:c r="G281" s="26" t="str">
        <x:v>R30, R36, R39</x:v>
      </x:c>
      <x:c r="H281" s="26" t="str">
        <x:v>R40</x:v>
      </x:c>
      <x:c r="I281" s="26" t="str">
        <x:v>R19 / R40</x:v>
      </x:c>
      <x:c r="J281" s="26" t="str">
        <x:v>Not started</x:v>
      </x:c>
      <x:c r="K281" s="26" t="str"/>
      <x:c r="L281" s="26" t="str">
        <x:v>High</x:v>
      </x:c>
    </x:row>
    <x:row r="282" ht="51" customHeight="1">
      <x:c r="A282" s="26" t="str">
        <x:v>MOB-02</x:v>
      </x:c>
      <x:c r="B282" s="26" t="str">
        <x:v>MOB</x:v>
      </x:c>
      <x:c r="C282" s="26" t="str">
        <x:v>Dedicated trusted desktop client</x:v>
      </x:c>
      <x:c r="D282" s="26" t="str">
        <x:v>SHOULD</x:v>
      </x:c>
      <x:c r="E282" s="26" t="str">
        <x:v>ENTERPRISE</x:v>
      </x:c>
      <x:c r="F282" s="26" t="str">
        <x:v>R37</x:v>
      </x:c>
      <x:c r="G282" s="26" t="str">
        <x:v>R30, R36, R39</x:v>
      </x:c>
      <x:c r="H282" s="26" t="str">
        <x:v>R40</x:v>
      </x:c>
      <x:c r="I282" s="26" t="str">
        <x:v>R19 / R40</x:v>
      </x:c>
      <x:c r="J282" s="26" t="str">
        <x:v>Not started</x:v>
      </x:c>
      <x:c r="K282" s="26" t="str"/>
      <x:c r="L282" s="26" t="str">
        <x:v>High</x:v>
      </x:c>
    </x:row>
    <x:row r="283" ht="51" customHeight="1">
      <x:c r="A283" s="26" t="str">
        <x:v>MOB-03</x:v>
      </x:c>
      <x:c r="B283" s="26" t="str">
        <x:v>MOB</x:v>
      </x:c>
      <x:c r="C283" s="26" t="str">
        <x:v>Native mobile applications</x:v>
      </x:c>
      <x:c r="D283" s="26" t="str">
        <x:v>SHOULD</x:v>
      </x:c>
      <x:c r="E283" s="26" t="str">
        <x:v>ENTERPRISE</x:v>
      </x:c>
      <x:c r="F283" s="26" t="str">
        <x:v>R37</x:v>
      </x:c>
      <x:c r="G283" s="26" t="str">
        <x:v>R30, R36, R39</x:v>
      </x:c>
      <x:c r="H283" s="26" t="str">
        <x:v>R40</x:v>
      </x:c>
      <x:c r="I283" s="26" t="str">
        <x:v>R19 / R40</x:v>
      </x:c>
      <x:c r="J283" s="26" t="str">
        <x:v>Not started</x:v>
      </x:c>
      <x:c r="K283" s="26" t="str"/>
      <x:c r="L283" s="26" t="str">
        <x:v>High</x:v>
      </x:c>
    </x:row>
    <x:row r="284" ht="51" customHeight="1">
      <x:c r="A284" s="26" t="str">
        <x:v>MOB-04</x:v>
      </x:c>
      <x:c r="B284" s="26" t="str">
        <x:v>MOB</x:v>
      </x:c>
      <x:c r="C284" s="26" t="str">
        <x:v>Secure offline access</x:v>
      </x:c>
      <x:c r="D284" s="26" t="str">
        <x:v>SHOULD</x:v>
      </x:c>
      <x:c r="E284" s="26" t="str">
        <x:v>ENTERPRISE</x:v>
      </x:c>
      <x:c r="F284" s="26" t="str">
        <x:v>R37</x:v>
      </x:c>
      <x:c r="G284" s="26" t="str">
        <x:v>R30, R36, R39</x:v>
      </x:c>
      <x:c r="H284" s="26" t="str">
        <x:v>R40</x:v>
      </x:c>
      <x:c r="I284" s="26" t="str">
        <x:v>R19 / R40</x:v>
      </x:c>
      <x:c r="J284" s="26" t="str">
        <x:v>Not started</x:v>
      </x:c>
      <x:c r="K284" s="26" t="str"/>
      <x:c r="L284" s="26" t="str">
        <x:v>High</x:v>
      </x:c>
    </x:row>
    <x:row r="285" ht="51" customHeight="1">
      <x:c r="A285" s="26" t="str">
        <x:v>MOB-05</x:v>
      </x:c>
      <x:c r="B285" s="26" t="str">
        <x:v>MOB</x:v>
      </x:c>
      <x:c r="C285" s="26" t="str">
        <x:v>Selective sync and pinning</x:v>
      </x:c>
      <x:c r="D285" s="26" t="str">
        <x:v>SHOULD</x:v>
      </x:c>
      <x:c r="E285" s="26" t="str">
        <x:v>ENTERPRISE</x:v>
      </x:c>
      <x:c r="F285" s="26" t="str">
        <x:v>R37</x:v>
      </x:c>
      <x:c r="G285" s="26" t="str">
        <x:v>R30, R36, R39</x:v>
      </x:c>
      <x:c r="H285" s="26" t="str">
        <x:v>R40</x:v>
      </x:c>
      <x:c r="I285" s="26" t="str">
        <x:v>R19 / R40</x:v>
      </x:c>
      <x:c r="J285" s="26" t="str">
        <x:v>Not started</x:v>
      </x:c>
      <x:c r="K285" s="26" t="str"/>
      <x:c r="L285" s="26" t="str">
        <x:v>High</x:v>
      </x:c>
    </x:row>
    <x:row r="286" ht="51" customHeight="1">
      <x:c r="A286" s="26" t="str">
        <x:v>MOB-06</x:v>
      </x:c>
      <x:c r="B286" s="26" t="str">
        <x:v>MOB</x:v>
      </x:c>
      <x:c r="C286" s="26" t="str">
        <x:v>Remote session revocation</x:v>
      </x:c>
      <x:c r="D286" s="26" t="str">
        <x:v>MUST</x:v>
      </x:c>
      <x:c r="E286" s="26" t="str">
        <x:v>CORE</x:v>
      </x:c>
      <x:c r="F286" s="26" t="str">
        <x:v>R37</x:v>
      </x:c>
      <x:c r="G286" s="26" t="str">
        <x:v>R30, R36, R39</x:v>
      </x:c>
      <x:c r="H286" s="26" t="str">
        <x:v>R40</x:v>
      </x:c>
      <x:c r="I286" s="26" t="str">
        <x:v>R19 / R40</x:v>
      </x:c>
      <x:c r="J286" s="26" t="str">
        <x:v>Not started</x:v>
      </x:c>
      <x:c r="K286" s="26" t="str"/>
      <x:c r="L286" s="26" t="str">
        <x:v>High</x:v>
      </x:c>
    </x:row>
    <x:row r="287" ht="51" customHeight="1">
      <x:c r="A287" s="26" t="str">
        <x:v>MOB-07</x:v>
      </x:c>
      <x:c r="B287" s="26" t="str">
        <x:v>MOB</x:v>
      </x:c>
      <x:c r="C287" s="26" t="str">
        <x:v>Mobile document capture</x:v>
      </x:c>
      <x:c r="D287" s="26" t="str">
        <x:v>SHOULD</x:v>
      </x:c>
      <x:c r="E287" s="26" t="str">
        <x:v>ENTERPRISE</x:v>
      </x:c>
      <x:c r="F287" s="26" t="str">
        <x:v>R37</x:v>
      </x:c>
      <x:c r="G287" s="26" t="str">
        <x:v>R30, R36, R39</x:v>
      </x:c>
      <x:c r="H287" s="26" t="str">
        <x:v>R40</x:v>
      </x:c>
      <x:c r="I287" s="26" t="str">
        <x:v>R19 / R40</x:v>
      </x:c>
      <x:c r="J287" s="26" t="str">
        <x:v>Not started</x:v>
      </x:c>
      <x:c r="K287" s="26" t="str"/>
      <x:c r="L287" s="26" t="str">
        <x:v>High</x:v>
      </x:c>
    </x:row>
    <x:row r="288" ht="51" customHeight="1">
      <x:c r="A288" s="26" t="str">
        <x:v>MOB-08</x:v>
      </x:c>
      <x:c r="B288" s="26" t="str">
        <x:v>MOB</x:v>
      </x:c>
      <x:c r="C288" s="26" t="str">
        <x:v>Push notifications</x:v>
      </x:c>
      <x:c r="D288" s="26" t="str">
        <x:v>SHOULD</x:v>
      </x:c>
      <x:c r="E288" s="26" t="str">
        <x:v>ENTERPRISE</x:v>
      </x:c>
      <x:c r="F288" s="26" t="str">
        <x:v>R37</x:v>
      </x:c>
      <x:c r="G288" s="26" t="str">
        <x:v>R30, R36, R39</x:v>
      </x:c>
      <x:c r="H288" s="26" t="str">
        <x:v>R40</x:v>
      </x:c>
      <x:c r="I288" s="26" t="str">
        <x:v>R19 / R40</x:v>
      </x:c>
      <x:c r="J288" s="26" t="str">
        <x:v>Not started</x:v>
      </x:c>
      <x:c r="K288" s="26" t="str"/>
      <x:c r="L288" s="26" t="str">
        <x:v>High</x:v>
      </x:c>
    </x:row>
    <x:row r="289" ht="51" customHeight="1">
      <x:c r="A289" s="26" t="str">
        <x:v>MOB-09</x:v>
      </x:c>
      <x:c r="B289" s="26" t="str">
        <x:v>MOB</x:v>
      </x:c>
      <x:c r="C289" s="26" t="str">
        <x:v>Desktop productivity integrations</x:v>
      </x:c>
      <x:c r="D289" s="26" t="str">
        <x:v>ADVANCED</x:v>
      </x:c>
      <x:c r="E289" s="26" t="str">
        <x:v>EXPANSION</x:v>
      </x:c>
      <x:c r="F289" s="26" t="str">
        <x:v>R37</x:v>
      </x:c>
      <x:c r="G289" s="26" t="str">
        <x:v>R30, R36, R39</x:v>
      </x:c>
      <x:c r="H289" s="26" t="str">
        <x:v>R40</x:v>
      </x:c>
      <x:c r="I289" s="26" t="str">
        <x:v>R19 / R40</x:v>
      </x:c>
      <x:c r="J289" s="26" t="str">
        <x:v>Not started</x:v>
      </x:c>
      <x:c r="K289" s="26" t="str"/>
      <x:c r="L289" s="26" t="str">
        <x:v>High</x:v>
      </x:c>
    </x:row>
    <x:row r="290" ht="51" customHeight="1">
      <x:c r="A290" s="26" t="str">
        <x:v>MOB-10</x:v>
      </x:c>
      <x:c r="B290" s="26" t="str">
        <x:v>MOB</x:v>
      </x:c>
      <x:c r="C290" s="26" t="str">
        <x:v>Certificate and device enrollment</x:v>
      </x:c>
      <x:c r="D290" s="26" t="str">
        <x:v>MUST</x:v>
      </x:c>
      <x:c r="E290" s="26" t="str">
        <x:v>CORE</x:v>
      </x:c>
      <x:c r="F290" s="26" t="str">
        <x:v>R37</x:v>
      </x:c>
      <x:c r="G290" s="26" t="str">
        <x:v>R30, R36, R39</x:v>
      </x:c>
      <x:c r="H290" s="26" t="str">
        <x:v>R40</x:v>
      </x:c>
      <x:c r="I290" s="26" t="str">
        <x:v>R19 / R40</x:v>
      </x:c>
      <x:c r="J290" s="26" t="str">
        <x:v>Not started</x:v>
      </x:c>
      <x:c r="K290" s="26" t="str"/>
      <x:c r="L290" s="26" t="str">
        <x:v>High</x:v>
      </x:c>
    </x:row>
    <x:row r="291" ht="51" customHeight="1">
      <x:c r="A291" s="26" t="str">
        <x:v>MOB-11</x:v>
      </x:c>
      <x:c r="B291" s="26" t="str">
        <x:v>MOB</x:v>
      </x:c>
      <x:c r="C291" s="26" t="str">
        <x:v>Low-bandwidth modes</x:v>
      </x:c>
      <x:c r="D291" s="26" t="str">
        <x:v>SHOULD</x:v>
      </x:c>
      <x:c r="E291" s="26" t="str">
        <x:v>ENTERPRISE</x:v>
      </x:c>
      <x:c r="F291" s="26" t="str">
        <x:v>R37</x:v>
      </x:c>
      <x:c r="G291" s="26" t="str">
        <x:v>R30, R36, R39</x:v>
      </x:c>
      <x:c r="H291" s="26" t="str">
        <x:v>R40</x:v>
      </x:c>
      <x:c r="I291" s="26" t="str">
        <x:v>R19 / R40</x:v>
      </x:c>
      <x:c r="J291" s="26" t="str">
        <x:v>Not started</x:v>
      </x:c>
      <x:c r="K291" s="26" t="str"/>
      <x:c r="L291" s="26" t="str">
        <x:v>High</x:v>
      </x:c>
    </x:row>
    <x:row r="292" ht="51" customHeight="1">
      <x:c r="A292" s="26" t="str">
        <x:v>MOB-12</x:v>
      </x:c>
      <x:c r="B292" s="26" t="str">
        <x:v>MOB</x:v>
      </x:c>
      <x:c r="C292" s="26" t="str">
        <x:v>Mobile accessibility and language coverage</x:v>
      </x:c>
      <x:c r="D292" s="26" t="str">
        <x:v>MUST</x:v>
      </x:c>
      <x:c r="E292" s="26" t="str">
        <x:v>CORE</x:v>
      </x:c>
      <x:c r="F292" s="26" t="str">
        <x:v>R37</x:v>
      </x:c>
      <x:c r="G292" s="26" t="str">
        <x:v>R30, R36, R39</x:v>
      </x:c>
      <x:c r="H292" s="26" t="str">
        <x:v>R40</x:v>
      </x:c>
      <x:c r="I292" s="26" t="str">
        <x:v>R19 / R40</x:v>
      </x:c>
      <x:c r="J292" s="26" t="str">
        <x:v>Not started</x:v>
      </x:c>
      <x:c r="K292" s="26" t="str"/>
      <x:c r="L292" s="26" t="str">
        <x:v>High</x:v>
      </x:c>
    </x:row>
    <x:row r="293" ht="51" customHeight="1">
      <x:c r="A293" s="26" t="str">
        <x:v>PRV-01</x:v>
      </x:c>
      <x:c r="B293" s="26" t="str">
        <x:v>PRV</x:v>
      </x:c>
      <x:c r="C293" s="26" t="str">
        <x:v>Privacy by design defaults</x:v>
      </x:c>
      <x:c r="D293" s="26" t="str">
        <x:v>MUST</x:v>
      </x:c>
      <x:c r="E293" s="26" t="str">
        <x:v>CORE</x:v>
      </x:c>
      <x:c r="F293" s="26" t="str">
        <x:v>R14</x:v>
      </x:c>
      <x:c r="G293" s="26" t="str">
        <x:v>R29, R31, R39</x:v>
      </x:c>
      <x:c r="H293" s="26" t="str">
        <x:v>R40</x:v>
      </x:c>
      <x:c r="I293" s="26" t="str">
        <x:v>R27</x:v>
      </x:c>
      <x:c r="J293" s="26" t="str">
        <x:v>Not started</x:v>
      </x:c>
      <x:c r="K293" s="26" t="str"/>
      <x:c r="L293" s="26" t="str">
        <x:v>Critical</x:v>
      </x:c>
    </x:row>
    <x:row r="294" ht="51" customHeight="1">
      <x:c r="A294" s="26" t="str">
        <x:v>PRV-02</x:v>
      </x:c>
      <x:c r="B294" s="26" t="str">
        <x:v>PRV</x:v>
      </x:c>
      <x:c r="C294" s="26" t="str">
        <x:v>Data processing inventory</x:v>
      </x:c>
      <x:c r="D294" s="26" t="str">
        <x:v>SHOULD</x:v>
      </x:c>
      <x:c r="E294" s="26" t="str">
        <x:v>ENTERPRISE</x:v>
      </x:c>
      <x:c r="F294" s="26" t="str">
        <x:v>R14</x:v>
      </x:c>
      <x:c r="G294" s="26" t="str">
        <x:v>R29, R31, R39</x:v>
      </x:c>
      <x:c r="H294" s="26" t="str">
        <x:v>R40</x:v>
      </x:c>
      <x:c r="I294" s="26" t="str">
        <x:v>R27</x:v>
      </x:c>
      <x:c r="J294" s="26" t="str">
        <x:v>Not started</x:v>
      </x:c>
      <x:c r="K294" s="26" t="str"/>
      <x:c r="L294" s="26" t="str">
        <x:v>Critical</x:v>
      </x:c>
    </x:row>
    <x:row r="295" ht="51" customHeight="1">
      <x:c r="A295" s="26" t="str">
        <x:v>PRV-03</x:v>
      </x:c>
      <x:c r="B295" s="26" t="str">
        <x:v>PRV</x:v>
      </x:c>
      <x:c r="C295" s="26" t="str">
        <x:v>Jurisdiction-specific policy profiles</x:v>
      </x:c>
      <x:c r="D295" s="26" t="str">
        <x:v>SHOULD</x:v>
      </x:c>
      <x:c r="E295" s="26" t="str">
        <x:v>ENTERPRISE</x:v>
      </x:c>
      <x:c r="F295" s="26" t="str">
        <x:v>R14</x:v>
      </x:c>
      <x:c r="G295" s="26" t="str">
        <x:v>R29, R31, R39</x:v>
      </x:c>
      <x:c r="H295" s="26" t="str">
        <x:v>R40</x:v>
      </x:c>
      <x:c r="I295" s="26" t="str">
        <x:v>R27</x:v>
      </x:c>
      <x:c r="J295" s="26" t="str">
        <x:v>Not started</x:v>
      </x:c>
      <x:c r="K295" s="26" t="str"/>
      <x:c r="L295" s="26" t="str">
        <x:v>Critical</x:v>
      </x:c>
    </x:row>
    <x:row r="296" ht="51" customHeight="1">
      <x:c r="A296" s="26" t="str">
        <x:v>PRV-04</x:v>
      </x:c>
      <x:c r="B296" s="26" t="str">
        <x:v>PRV</x:v>
      </x:c>
      <x:c r="C296" s="26" t="str">
        <x:v>Subject-access and portability requests</x:v>
      </x:c>
      <x:c r="D296" s="26" t="str">
        <x:v>SHOULD</x:v>
      </x:c>
      <x:c r="E296" s="26" t="str">
        <x:v>ENTERPRISE</x:v>
      </x:c>
      <x:c r="F296" s="26" t="str">
        <x:v>R14</x:v>
      </x:c>
      <x:c r="G296" s="26" t="str">
        <x:v>R29, R31, R39</x:v>
      </x:c>
      <x:c r="H296" s="26" t="str">
        <x:v>R40</x:v>
      </x:c>
      <x:c r="I296" s="26" t="str">
        <x:v>R27</x:v>
      </x:c>
      <x:c r="J296" s="26" t="str">
        <x:v>Not started</x:v>
      </x:c>
      <x:c r="K296" s="26" t="str"/>
      <x:c r="L296" s="26" t="str">
        <x:v>Critical</x:v>
      </x:c>
    </x:row>
    <x:row r="297" ht="51" customHeight="1">
      <x:c r="A297" s="26" t="str">
        <x:v>PRV-05</x:v>
      </x:c>
      <x:c r="B297" s="26" t="str">
        <x:v>PRV</x:v>
      </x:c>
      <x:c r="C297" s="26" t="str">
        <x:v>Privacy-preserving analytics</x:v>
      </x:c>
      <x:c r="D297" s="26" t="str">
        <x:v>SHOULD</x:v>
      </x:c>
      <x:c r="E297" s="26" t="str">
        <x:v>ENTERPRISE</x:v>
      </x:c>
      <x:c r="F297" s="26" t="str">
        <x:v>R14</x:v>
      </x:c>
      <x:c r="G297" s="26" t="str">
        <x:v>R29, R31, R39</x:v>
      </x:c>
      <x:c r="H297" s="26" t="str">
        <x:v>R40</x:v>
      </x:c>
      <x:c r="I297" s="26" t="str">
        <x:v>R27</x:v>
      </x:c>
      <x:c r="J297" s="26" t="str">
        <x:v>Not started</x:v>
      </x:c>
      <x:c r="K297" s="26" t="str"/>
      <x:c r="L297" s="26" t="str">
        <x:v>Critical</x:v>
      </x:c>
    </x:row>
    <x:row r="298" ht="51" customHeight="1">
      <x:c r="A298" s="26" t="str">
        <x:v>PRV-06</x:v>
      </x:c>
      <x:c r="B298" s="26" t="str">
        <x:v>PRV</x:v>
      </x:c>
      <x:c r="C298" s="26" t="str">
        <x:v>Consent and notices</x:v>
      </x:c>
      <x:c r="D298" s="26" t="str">
        <x:v>SHOULD</x:v>
      </x:c>
      <x:c r="E298" s="26" t="str">
        <x:v>ENTERPRISE</x:v>
      </x:c>
      <x:c r="F298" s="26" t="str">
        <x:v>R14</x:v>
      </x:c>
      <x:c r="G298" s="26" t="str">
        <x:v>R29, R31, R39</x:v>
      </x:c>
      <x:c r="H298" s="26" t="str">
        <x:v>R40</x:v>
      </x:c>
      <x:c r="I298" s="26" t="str">
        <x:v>R27</x:v>
      </x:c>
      <x:c r="J298" s="26" t="str">
        <x:v>Not started</x:v>
      </x:c>
      <x:c r="K298" s="26" t="str"/>
      <x:c r="L298" s="26" t="str">
        <x:v>Critical</x:v>
      </x:c>
    </x:row>
    <x:row r="299" ht="51" customHeight="1">
      <x:c r="A299" s="26" t="str">
        <x:v>PRV-07</x:v>
      </x:c>
      <x:c r="B299" s="26" t="str">
        <x:v>PRV</x:v>
      </x:c>
      <x:c r="C299" s="26" t="str">
        <x:v>Data residency verification</x:v>
      </x:c>
      <x:c r="D299" s="26" t="str">
        <x:v>MUST</x:v>
      </x:c>
      <x:c r="E299" s="26" t="str">
        <x:v>CORE</x:v>
      </x:c>
      <x:c r="F299" s="26" t="str">
        <x:v>R14</x:v>
      </x:c>
      <x:c r="G299" s="26" t="str">
        <x:v>R29, R31, R39</x:v>
      </x:c>
      <x:c r="H299" s="26" t="str">
        <x:v>R40</x:v>
      </x:c>
      <x:c r="I299" s="26" t="str">
        <x:v>R27</x:v>
      </x:c>
      <x:c r="J299" s="26" t="str">
        <x:v>Not started</x:v>
      </x:c>
      <x:c r="K299" s="26" t="str"/>
      <x:c r="L299" s="26" t="str">
        <x:v>Critical</x:v>
      </x:c>
    </x:row>
    <x:row r="300" ht="51" customHeight="1">
      <x:c r="A300" s="26" t="str">
        <x:v>PRV-08</x:v>
      </x:c>
      <x:c r="B300" s="26" t="str">
        <x:v>PRV</x:v>
      </x:c>
      <x:c r="C300" s="26" t="str">
        <x:v>Subprocessor and vendor controls</x:v>
      </x:c>
      <x:c r="D300" s="26" t="str">
        <x:v>SHOULD</x:v>
      </x:c>
      <x:c r="E300" s="26" t="str">
        <x:v>ENTERPRISE</x:v>
      </x:c>
      <x:c r="F300" s="26" t="str">
        <x:v>R14</x:v>
      </x:c>
      <x:c r="G300" s="26" t="str">
        <x:v>R29, R31, R39</x:v>
      </x:c>
      <x:c r="H300" s="26" t="str">
        <x:v>R40</x:v>
      </x:c>
      <x:c r="I300" s="26" t="str">
        <x:v>R27</x:v>
      </x:c>
      <x:c r="J300" s="26" t="str">
        <x:v>Not started</x:v>
      </x:c>
      <x:c r="K300" s="26" t="str"/>
      <x:c r="L300" s="26" t="str">
        <x:v>Critical</x:v>
      </x:c>
    </x:row>
    <x:row r="301" ht="51" customHeight="1">
      <x:c r="A301" s="26" t="str">
        <x:v>PRV-09</x:v>
      </x:c>
      <x:c r="B301" s="26" t="str">
        <x:v>PRV</x:v>
      </x:c>
      <x:c r="C301" s="26" t="str">
        <x:v>Retention-versus-erasure resolution</x:v>
      </x:c>
      <x:c r="D301" s="26" t="str">
        <x:v>MUST</x:v>
      </x:c>
      <x:c r="E301" s="26" t="str">
        <x:v>CORE</x:v>
      </x:c>
      <x:c r="F301" s="26" t="str">
        <x:v>R14</x:v>
      </x:c>
      <x:c r="G301" s="26" t="str">
        <x:v>R29, R31, R39</x:v>
      </x:c>
      <x:c r="H301" s="26" t="str">
        <x:v>R40</x:v>
      </x:c>
      <x:c r="I301" s="26" t="str">
        <x:v>R27</x:v>
      </x:c>
      <x:c r="J301" s="26" t="str">
        <x:v>Not started</x:v>
      </x:c>
      <x:c r="K301" s="26" t="str"/>
      <x:c r="L301" s="26" t="str">
        <x:v>Critical</x:v>
      </x:c>
    </x:row>
    <x:row r="302" ht="51" customHeight="1">
      <x:c r="A302" s="26" t="str">
        <x:v>PRV-10</x:v>
      </x:c>
      <x:c r="B302" s="26" t="str">
        <x:v>PRV</x:v>
      </x:c>
      <x:c r="C302" s="26" t="str">
        <x:v>Data classification and impact assessments</x:v>
      </x:c>
      <x:c r="D302" s="26" t="str">
        <x:v>SHOULD</x:v>
      </x:c>
      <x:c r="E302" s="26" t="str">
        <x:v>ENTERPRISE</x:v>
      </x:c>
      <x:c r="F302" s="26" t="str">
        <x:v>R14</x:v>
      </x:c>
      <x:c r="G302" s="26" t="str">
        <x:v>R29, R31, R39</x:v>
      </x:c>
      <x:c r="H302" s="26" t="str">
        <x:v>R40</x:v>
      </x:c>
      <x:c r="I302" s="26" t="str">
        <x:v>R27</x:v>
      </x:c>
      <x:c r="J302" s="26" t="str">
        <x:v>Not started</x:v>
      </x:c>
      <x:c r="K302" s="26" t="str"/>
      <x:c r="L302" s="26" t="str">
        <x:v>Critical</x:v>
      </x:c>
    </x:row>
    <x:row r="303" ht="51" customHeight="1">
      <x:c r="A303" s="26" t="str">
        <x:v>PRV-11</x:v>
      </x:c>
      <x:c r="B303" s="26" t="str">
        <x:v>PRV</x:v>
      </x:c>
      <x:c r="C303" s="26" t="str">
        <x:v>Accessibility and inclusion governance</x:v>
      </x:c>
      <x:c r="D303" s="26" t="str">
        <x:v>SHOULD</x:v>
      </x:c>
      <x:c r="E303" s="26" t="str">
        <x:v>ENTERPRISE</x:v>
      </x:c>
      <x:c r="F303" s="26" t="str">
        <x:v>R14</x:v>
      </x:c>
      <x:c r="G303" s="26" t="str">
        <x:v>R29, R31, R39</x:v>
      </x:c>
      <x:c r="H303" s="26" t="str">
        <x:v>R40</x:v>
      </x:c>
      <x:c r="I303" s="26" t="str">
        <x:v>R27</x:v>
      </x:c>
      <x:c r="J303" s="26" t="str">
        <x:v>Not started</x:v>
      </x:c>
      <x:c r="K303" s="26" t="str"/>
      <x:c r="L303" s="26" t="str">
        <x:v>Critical</x:v>
      </x:c>
    </x:row>
    <x:row r="304" ht="51" customHeight="1">
      <x:c r="A304" s="26" t="str">
        <x:v>PRV-12</x:v>
      </x:c>
      <x:c r="B304" s="26" t="str">
        <x:v>PRV</x:v>
      </x:c>
      <x:c r="C304" s="26" t="str">
        <x:v>Records of administrator instructions</x:v>
      </x:c>
      <x:c r="D304" s="26" t="str">
        <x:v>SHOULD</x:v>
      </x:c>
      <x:c r="E304" s="26" t="str">
        <x:v>ENTERPRISE</x:v>
      </x:c>
      <x:c r="F304" s="26" t="str">
        <x:v>R14</x:v>
      </x:c>
      <x:c r="G304" s="26" t="str">
        <x:v>R29, R31, R39</x:v>
      </x:c>
      <x:c r="H304" s="26" t="str">
        <x:v>R40</x:v>
      </x:c>
      <x:c r="I304" s="26" t="str">
        <x:v>R27</x:v>
      </x:c>
      <x:c r="J304" s="26" t="str">
        <x:v>Not started</x:v>
      </x:c>
      <x:c r="K304" s="26" t="str"/>
      <x:c r="L304" s="26" t="str">
        <x:v>Critical</x:v>
      </x:c>
    </x:row>
    <x:row r="305" ht="51" customHeight="1">
      <x:c r="A305" s="26" t="str">
        <x:v>PRV-13</x:v>
      </x:c>
      <x:c r="B305" s="26" t="str">
        <x:v>PRV</x:v>
      </x:c>
      <x:c r="C305" s="26" t="str">
        <x:v>Document sovereignty and portability</x:v>
      </x:c>
      <x:c r="D305" s="26" t="str">
        <x:v>SHOULD</x:v>
      </x:c>
      <x:c r="E305" s="26" t="str">
        <x:v>ENTERPRISE</x:v>
      </x:c>
      <x:c r="F305" s="26" t="str">
        <x:v>R14</x:v>
      </x:c>
      <x:c r="G305" s="26" t="str">
        <x:v>R29, R31, R39</x:v>
      </x:c>
      <x:c r="H305" s="26" t="str">
        <x:v>R40</x:v>
      </x:c>
      <x:c r="I305" s="26" t="str">
        <x:v>R27</x:v>
      </x:c>
      <x:c r="J305" s="26" t="str">
        <x:v>Not started</x:v>
      </x:c>
      <x:c r="K305" s="26" t="str"/>
      <x:c r="L305" s="26" t="str">
        <x:v>Critical</x:v>
      </x:c>
    </x:row>
    <x:row r="306" ht="51" customHeight="1">
      <x:c r="A306" s="26" t="str">
        <x:v>PRV-14</x:v>
      </x:c>
      <x:c r="B306" s="26" t="str">
        <x:v>PRV</x:v>
      </x:c>
      <x:c r="C306" s="26" t="str">
        <x:v>Data breach readiness</x:v>
      </x:c>
      <x:c r="D306" s="26" t="str">
        <x:v>MUST</x:v>
      </x:c>
      <x:c r="E306" s="26" t="str">
        <x:v>CORE</x:v>
      </x:c>
      <x:c r="F306" s="26" t="str">
        <x:v>R14</x:v>
      </x:c>
      <x:c r="G306" s="26" t="str">
        <x:v>R29, R31, R39</x:v>
      </x:c>
      <x:c r="H306" s="26" t="str">
        <x:v>R40</x:v>
      </x:c>
      <x:c r="I306" s="26" t="str">
        <x:v>R27</x:v>
      </x:c>
      <x:c r="J306" s="26" t="str">
        <x:v>Not started</x:v>
      </x:c>
      <x:c r="K306" s="26" t="str"/>
      <x:c r="L306" s="26" t="str">
        <x:v>Critical</x:v>
      </x:c>
    </x:row>
    <x:row r="307" ht="51" customHeight="1">
      <x:c r="A307" s="26" t="str">
        <x:v>OPS-01</x:v>
      </x:c>
      <x:c r="B307" s="26" t="str">
        <x:v>OPS</x:v>
      </x:c>
      <x:c r="C307" s="26" t="str">
        <x:v>Independent secure service deployment</x:v>
      </x:c>
      <x:c r="D307" s="26" t="str">
        <x:v>MUST</x:v>
      </x:c>
      <x:c r="E307" s="26" t="str">
        <x:v>CORE</x:v>
      </x:c>
      <x:c r="F307" s="26" t="str">
        <x:v>R39</x:v>
      </x:c>
      <x:c r="G307" s="26" t="str">
        <x:v>R38, R22, R40</x:v>
      </x:c>
      <x:c r="H307" s="26" t="str">
        <x:v>R40</x:v>
      </x:c>
      <x:c r="I307" s="26" t="str">
        <x:v>R24</x:v>
      </x:c>
      <x:c r="J307" s="26" t="str">
        <x:v>Not started</x:v>
      </x:c>
      <x:c r="K307" s="26" t="str"/>
      <x:c r="L307" s="26" t="str">
        <x:v>Critical</x:v>
      </x:c>
    </x:row>
    <x:row r="308" ht="51" customHeight="1">
      <x:c r="A308" s="26" t="str">
        <x:v>OPS-02</x:v>
      </x:c>
      <x:c r="B308" s="26" t="str">
        <x:v>OPS</x:v>
      </x:c>
      <x:c r="C308" s="26" t="str">
        <x:v>Tenant-aware database architecture</x:v>
      </x:c>
      <x:c r="D308" s="26" t="str">
        <x:v>MUST</x:v>
      </x:c>
      <x:c r="E308" s="26" t="str">
        <x:v>CORE</x:v>
      </x:c>
      <x:c r="F308" s="26" t="str">
        <x:v>R39</x:v>
      </x:c>
      <x:c r="G308" s="26" t="str">
        <x:v>R38, R22, R40</x:v>
      </x:c>
      <x:c r="H308" s="26" t="str">
        <x:v>R40</x:v>
      </x:c>
      <x:c r="I308" s="26" t="str">
        <x:v>R24</x:v>
      </x:c>
      <x:c r="J308" s="26" t="str">
        <x:v>Not started</x:v>
      </x:c>
      <x:c r="K308" s="26" t="str"/>
      <x:c r="L308" s="26" t="str">
        <x:v>Critical</x:v>
      </x:c>
    </x:row>
    <x:row r="309" ht="51" customHeight="1">
      <x:c r="A309" s="26" t="str">
        <x:v>OPS-03</x:v>
      </x:c>
      <x:c r="B309" s="26" t="str">
        <x:v>OPS</x:v>
      </x:c>
      <x:c r="C309" s="26" t="str">
        <x:v>Object-store durability</x:v>
      </x:c>
      <x:c r="D309" s="26" t="str">
        <x:v>MUST</x:v>
      </x:c>
      <x:c r="E309" s="26" t="str">
        <x:v>CORE</x:v>
      </x:c>
      <x:c r="F309" s="26" t="str">
        <x:v>R39</x:v>
      </x:c>
      <x:c r="G309" s="26" t="str">
        <x:v>R38, R22, R40</x:v>
      </x:c>
      <x:c r="H309" s="26" t="str">
        <x:v>R40</x:v>
      </x:c>
      <x:c r="I309" s="26" t="str">
        <x:v>R24</x:v>
      </x:c>
      <x:c r="J309" s="26" t="str">
        <x:v>Not started</x:v>
      </x:c>
      <x:c r="K309" s="26" t="str"/>
      <x:c r="L309" s="26" t="str">
        <x:v>Critical</x:v>
      </x:c>
    </x:row>
    <x:row r="310" ht="51" customHeight="1">
      <x:c r="A310" s="26" t="str">
        <x:v>OPS-04</x:v>
      </x:c>
      <x:c r="B310" s="26" t="str">
        <x:v>OPS</x:v>
      </x:c>
      <x:c r="C310" s="26" t="str">
        <x:v>Availability service-level objectives</x:v>
      </x:c>
      <x:c r="D310" s="26" t="str">
        <x:v>SHOULD</x:v>
      </x:c>
      <x:c r="E310" s="26" t="str">
        <x:v>ENTERPRISE</x:v>
      </x:c>
      <x:c r="F310" s="26" t="str">
        <x:v>R39</x:v>
      </x:c>
      <x:c r="G310" s="26" t="str">
        <x:v>R38, R22, R40</x:v>
      </x:c>
      <x:c r="H310" s="26" t="str">
        <x:v>R40</x:v>
      </x:c>
      <x:c r="I310" s="26" t="str">
        <x:v>R24</x:v>
      </x:c>
      <x:c r="J310" s="26" t="str">
        <x:v>Not started</x:v>
      </x:c>
      <x:c r="K310" s="26" t="str"/>
      <x:c r="L310" s="26" t="str">
        <x:v>Critical</x:v>
      </x:c>
    </x:row>
    <x:row r="311" ht="51" customHeight="1">
      <x:c r="A311" s="26" t="str">
        <x:v>OPS-05</x:v>
      </x:c>
      <x:c r="B311" s="26" t="str">
        <x:v>OPS</x:v>
      </x:c>
      <x:c r="C311" s="26" t="str">
        <x:v>Recovery time and point objectives</x:v>
      </x:c>
      <x:c r="D311" s="26" t="str">
        <x:v>SHOULD</x:v>
      </x:c>
      <x:c r="E311" s="26" t="str">
        <x:v>ENTERPRISE</x:v>
      </x:c>
      <x:c r="F311" s="26" t="str">
        <x:v>R39</x:v>
      </x:c>
      <x:c r="G311" s="26" t="str">
        <x:v>R38, R22, R40</x:v>
      </x:c>
      <x:c r="H311" s="26" t="str">
        <x:v>R40</x:v>
      </x:c>
      <x:c r="I311" s="26" t="str">
        <x:v>R24</x:v>
      </x:c>
      <x:c r="J311" s="26" t="str">
        <x:v>Not started</x:v>
      </x:c>
      <x:c r="K311" s="26" t="str"/>
      <x:c r="L311" s="26" t="str">
        <x:v>Critical</x:v>
      </x:c>
    </x:row>
    <x:row r="312" ht="51" customHeight="1">
      <x:c r="A312" s="26" t="str">
        <x:v>OPS-06</x:v>
      </x:c>
      <x:c r="B312" s="26" t="str">
        <x:v>OPS</x:v>
      </x:c>
      <x:c r="C312" s="26" t="str">
        <x:v>Encrypted backup strategy</x:v>
      </x:c>
      <x:c r="D312" s="26" t="str">
        <x:v>MUST</x:v>
      </x:c>
      <x:c r="E312" s="26" t="str">
        <x:v>CORE</x:v>
      </x:c>
      <x:c r="F312" s="26" t="str">
        <x:v>R39</x:v>
      </x:c>
      <x:c r="G312" s="26" t="str">
        <x:v>R38, R22, R40</x:v>
      </x:c>
      <x:c r="H312" s="26" t="str">
        <x:v>R40</x:v>
      </x:c>
      <x:c r="I312" s="26" t="str">
        <x:v>R24</x:v>
      </x:c>
      <x:c r="J312" s="26" t="str">
        <x:v>Not started</x:v>
      </x:c>
      <x:c r="K312" s="26" t="str"/>
      <x:c r="L312" s="26" t="str">
        <x:v>Critical</x:v>
      </x:c>
    </x:row>
    <x:row r="313" ht="51" customHeight="1">
      <x:c r="A313" s="26" t="str">
        <x:v>OPS-07</x:v>
      </x:c>
      <x:c r="B313" s="26" t="str">
        <x:v>OPS</x:v>
      </x:c>
      <x:c r="C313" s="26" t="str">
        <x:v>Immutable and offline backups</x:v>
      </x:c>
      <x:c r="D313" s="26" t="str">
        <x:v>MUST</x:v>
      </x:c>
      <x:c r="E313" s="26" t="str">
        <x:v>CORE</x:v>
      </x:c>
      <x:c r="F313" s="26" t="str">
        <x:v>R39</x:v>
      </x:c>
      <x:c r="G313" s="26" t="str">
        <x:v>R38, R22, R40</x:v>
      </x:c>
      <x:c r="H313" s="26" t="str">
        <x:v>R40</x:v>
      </x:c>
      <x:c r="I313" s="26" t="str">
        <x:v>R24</x:v>
      </x:c>
      <x:c r="J313" s="26" t="str">
        <x:v>Not started</x:v>
      </x:c>
      <x:c r="K313" s="26" t="str"/>
      <x:c r="L313" s="26" t="str">
        <x:v>Critical</x:v>
      </x:c>
    </x:row>
    <x:row r="314" ht="51" customHeight="1">
      <x:c r="A314" s="26" t="str">
        <x:v>OPS-08</x:v>
      </x:c>
      <x:c r="B314" s="26" t="str">
        <x:v>OPS</x:v>
      </x:c>
      <x:c r="C314" s="26" t="str">
        <x:v>Continuous monitoring and alerting</x:v>
      </x:c>
      <x:c r="D314" s="26" t="str">
        <x:v>MUST</x:v>
      </x:c>
      <x:c r="E314" s="26" t="str">
        <x:v>CORE</x:v>
      </x:c>
      <x:c r="F314" s="26" t="str">
        <x:v>R39</x:v>
      </x:c>
      <x:c r="G314" s="26" t="str">
        <x:v>R38, R22, R40</x:v>
      </x:c>
      <x:c r="H314" s="26" t="str">
        <x:v>R40</x:v>
      </x:c>
      <x:c r="I314" s="26" t="str">
        <x:v>R24</x:v>
      </x:c>
      <x:c r="J314" s="26" t="str">
        <x:v>Not started</x:v>
      </x:c>
      <x:c r="K314" s="26" t="str"/>
      <x:c r="L314" s="26" t="str">
        <x:v>Critical</x:v>
      </x:c>
    </x:row>
    <x:row r="315" ht="51" customHeight="1">
      <x:c r="A315" s="26" t="str">
        <x:v>OPS-09</x:v>
      </x:c>
      <x:c r="B315" s="26" t="str">
        <x:v>OPS</x:v>
      </x:c>
      <x:c r="C315" s="26" t="str">
        <x:v>Log correlation and tracing</x:v>
      </x:c>
      <x:c r="D315" s="26" t="str">
        <x:v>SHOULD</x:v>
      </x:c>
      <x:c r="E315" s="26" t="str">
        <x:v>ENTERPRISE</x:v>
      </x:c>
      <x:c r="F315" s="26" t="str">
        <x:v>R39</x:v>
      </x:c>
      <x:c r="G315" s="26" t="str">
        <x:v>R38, R22, R40</x:v>
      </x:c>
      <x:c r="H315" s="26" t="str">
        <x:v>R40</x:v>
      </x:c>
      <x:c r="I315" s="26" t="str">
        <x:v>R24</x:v>
      </x:c>
      <x:c r="J315" s="26" t="str">
        <x:v>Not started</x:v>
      </x:c>
      <x:c r="K315" s="26" t="str"/>
      <x:c r="L315" s="26" t="str">
        <x:v>Critical</x:v>
      </x:c>
    </x:row>
    <x:row r="316" ht="51" customHeight="1">
      <x:c r="A316" s="26" t="str">
        <x:v>OPS-10</x:v>
      </x:c>
      <x:c r="B316" s="26" t="str">
        <x:v>OPS</x:v>
      </x:c>
      <x:c r="C316" s="26" t="str">
        <x:v>Infrastructure as code</x:v>
      </x:c>
      <x:c r="D316" s="26" t="str">
        <x:v>MUST</x:v>
      </x:c>
      <x:c r="E316" s="26" t="str">
        <x:v>CORE</x:v>
      </x:c>
      <x:c r="F316" s="26" t="str">
        <x:v>R39</x:v>
      </x:c>
      <x:c r="G316" s="26" t="str">
        <x:v>R38, R22, R40</x:v>
      </x:c>
      <x:c r="H316" s="26" t="str">
        <x:v>R40</x:v>
      </x:c>
      <x:c r="I316" s="26" t="str">
        <x:v>R24</x:v>
      </x:c>
      <x:c r="J316" s="26" t="str">
        <x:v>Not started</x:v>
      </x:c>
      <x:c r="K316" s="26" t="str"/>
      <x:c r="L316" s="26" t="str">
        <x:v>Critical</x:v>
      </x:c>
    </x:row>
    <x:row r="317" ht="51" customHeight="1">
      <x:c r="A317" s="26" t="str">
        <x:v>OPS-11</x:v>
      </x:c>
      <x:c r="B317" s="26" t="str">
        <x:v>OPS</x:v>
      </x:c>
      <x:c r="C317" s="26" t="str">
        <x:v>CI/CD security gates</x:v>
      </x:c>
      <x:c r="D317" s="26" t="str">
        <x:v>MUST</x:v>
      </x:c>
      <x:c r="E317" s="26" t="str">
        <x:v>CORE</x:v>
      </x:c>
      <x:c r="F317" s="26" t="str">
        <x:v>R39</x:v>
      </x:c>
      <x:c r="G317" s="26" t="str">
        <x:v>R38, R22, R40</x:v>
      </x:c>
      <x:c r="H317" s="26" t="str">
        <x:v>R40</x:v>
      </x:c>
      <x:c r="I317" s="26" t="str">
        <x:v>R24</x:v>
      </x:c>
      <x:c r="J317" s="26" t="str">
        <x:v>Not started</x:v>
      </x:c>
      <x:c r="K317" s="26" t="str"/>
      <x:c r="L317" s="26" t="str">
        <x:v>Critical</x:v>
      </x:c>
    </x:row>
    <x:row r="318" ht="51" customHeight="1">
      <x:c r="A318" s="26" t="str">
        <x:v>OPS-12</x:v>
      </x:c>
      <x:c r="B318" s="26" t="str">
        <x:v>OPS</x:v>
      </x:c>
      <x:c r="C318" s="26" t="str">
        <x:v>Penetration testing and red teams</x:v>
      </x:c>
      <x:c r="D318" s="26" t="str">
        <x:v>MUST</x:v>
      </x:c>
      <x:c r="E318" s="26" t="str">
        <x:v>CORE</x:v>
      </x:c>
      <x:c r="F318" s="26" t="str">
        <x:v>R39</x:v>
      </x:c>
      <x:c r="G318" s="26" t="str">
        <x:v>R38, R22, R40</x:v>
      </x:c>
      <x:c r="H318" s="26" t="str">
        <x:v>R40</x:v>
      </x:c>
      <x:c r="I318" s="26" t="str">
        <x:v>R24</x:v>
      </x:c>
      <x:c r="J318" s="26" t="str">
        <x:v>Not started</x:v>
      </x:c>
      <x:c r="K318" s="26" t="str"/>
      <x:c r="L318" s="26" t="str">
        <x:v>Critical</x:v>
      </x:c>
    </x:row>
    <x:row r="319" ht="51" customHeight="1">
      <x:c r="A319" s="26" t="str">
        <x:v>OPS-13</x:v>
      </x:c>
      <x:c r="B319" s="26" t="str">
        <x:v>OPS</x:v>
      </x:c>
      <x:c r="C319" s="26" t="str">
        <x:v>Cryptographic threat-model reviews</x:v>
      </x:c>
      <x:c r="D319" s="26" t="str">
        <x:v>MUST</x:v>
      </x:c>
      <x:c r="E319" s="26" t="str">
        <x:v>CORE</x:v>
      </x:c>
      <x:c r="F319" s="26" t="str">
        <x:v>R39</x:v>
      </x:c>
      <x:c r="G319" s="26" t="str">
        <x:v>R38, R22, R40</x:v>
      </x:c>
      <x:c r="H319" s="26" t="str">
        <x:v>R40</x:v>
      </x:c>
      <x:c r="I319" s="26" t="str">
        <x:v>R24</x:v>
      </x:c>
      <x:c r="J319" s="26" t="str">
        <x:v>Not started</x:v>
      </x:c>
      <x:c r="K319" s="26" t="str"/>
      <x:c r="L319" s="26" t="str">
        <x:v>Critical</x:v>
      </x:c>
    </x:row>
    <x:row r="320" ht="51" customHeight="1">
      <x:c r="A320" s="26" t="str">
        <x:v>OPS-14</x:v>
      </x:c>
      <x:c r="B320" s="26" t="str">
        <x:v>OPS</x:v>
      </x:c>
      <x:c r="C320" s="26" t="str">
        <x:v>Performance and load testing</x:v>
      </x:c>
      <x:c r="D320" s="26" t="str">
        <x:v>MUST</x:v>
      </x:c>
      <x:c r="E320" s="26" t="str">
        <x:v>CORE</x:v>
      </x:c>
      <x:c r="F320" s="26" t="str">
        <x:v>R39</x:v>
      </x:c>
      <x:c r="G320" s="26" t="str">
        <x:v>R38, R22, R40</x:v>
      </x:c>
      <x:c r="H320" s="26" t="str">
        <x:v>R40</x:v>
      </x:c>
      <x:c r="I320" s="26" t="str">
        <x:v>R24</x:v>
      </x:c>
      <x:c r="J320" s="26" t="str">
        <x:v>Not started</x:v>
      </x:c>
      <x:c r="K320" s="26" t="str"/>
      <x:c r="L320" s="26" t="str">
        <x:v>Critical</x:v>
      </x:c>
    </x:row>
    <x:row r="321" ht="51" customHeight="1">
      <x:c r="A321" s="26" t="str">
        <x:v>OPS-15</x:v>
      </x:c>
      <x:c r="B321" s="26" t="str">
        <x:v>OPS</x:v>
      </x:c>
      <x:c r="C321" s="26" t="str">
        <x:v>Safe application updates</x:v>
      </x:c>
      <x:c r="D321" s="26" t="str">
        <x:v>MUST</x:v>
      </x:c>
      <x:c r="E321" s="26" t="str">
        <x:v>CORE</x:v>
      </x:c>
      <x:c r="F321" s="26" t="str">
        <x:v>R39</x:v>
      </x:c>
      <x:c r="G321" s="26" t="str">
        <x:v>R38, R22, R40</x:v>
      </x:c>
      <x:c r="H321" s="26" t="str">
        <x:v>R40</x:v>
      </x:c>
      <x:c r="I321" s="26" t="str">
        <x:v>R24</x:v>
      </x:c>
      <x:c r="J321" s="26" t="str">
        <x:v>Not started</x:v>
      </x:c>
      <x:c r="K321" s="26" t="str"/>
      <x:c r="L321" s="26" t="str">
        <x:v>Critical</x:v>
      </x:c>
    </x:row>
    <x:row r="322" ht="51" customHeight="1">
      <x:c r="A322" s="26" t="str">
        <x:v>OPS-16</x:v>
      </x:c>
      <x:c r="B322" s="26" t="str">
        <x:v>OPS</x:v>
      </x:c>
      <x:c r="C322" s="26" t="str">
        <x:v>Configuration and feature flags</x:v>
      </x:c>
      <x:c r="D322" s="26" t="str">
        <x:v>SHOULD</x:v>
      </x:c>
      <x:c r="E322" s="26" t="str">
        <x:v>ENTERPRISE</x:v>
      </x:c>
      <x:c r="F322" s="26" t="str">
        <x:v>R39</x:v>
      </x:c>
      <x:c r="G322" s="26" t="str">
        <x:v>R38, R22, R40</x:v>
      </x:c>
      <x:c r="H322" s="26" t="str">
        <x:v>R40</x:v>
      </x:c>
      <x:c r="I322" s="26" t="str">
        <x:v>R24</x:v>
      </x:c>
      <x:c r="J322" s="26" t="str">
        <x:v>Not started</x:v>
      </x:c>
      <x:c r="K322" s="26" t="str"/>
      <x:c r="L322" s="26" t="str">
        <x:v>Critical</x:v>
      </x:c>
    </x:row>
    <x:row r="323" ht="51" customHeight="1">
      <x:c r="A323" s="26" t="str">
        <x:v>OPS-17</x:v>
      </x:c>
      <x:c r="B323" s="26" t="str">
        <x:v>OPS</x:v>
      </x:c>
      <x:c r="C323" s="26" t="str">
        <x:v>Support diagnostics</x:v>
      </x:c>
      <x:c r="D323" s="26" t="str">
        <x:v>MUST</x:v>
      </x:c>
      <x:c r="E323" s="26" t="str">
        <x:v>CORE</x:v>
      </x:c>
      <x:c r="F323" s="26" t="str">
        <x:v>R39</x:v>
      </x:c>
      <x:c r="G323" s="26" t="str">
        <x:v>R38, R22, R40</x:v>
      </x:c>
      <x:c r="H323" s="26" t="str">
        <x:v>R40</x:v>
      </x:c>
      <x:c r="I323" s="26" t="str">
        <x:v>R24</x:v>
      </x:c>
      <x:c r="J323" s="26" t="str">
        <x:v>Not started</x:v>
      </x:c>
      <x:c r="K323" s="26" t="str"/>
      <x:c r="L323" s="26" t="str">
        <x:v>Critical</x:v>
      </x:c>
    </x:row>
    <x:row r="324" ht="51" customHeight="1">
      <x:c r="A324" s="26" t="str">
        <x:v>OPS-18</x:v>
      </x:c>
      <x:c r="B324" s="26" t="str">
        <x:v>OPS</x:v>
      </x:c>
      <x:c r="C324" s="26" t="str">
        <x:v>Operations runbooks</x:v>
      </x:c>
      <x:c r="D324" s="26" t="str">
        <x:v>MUST</x:v>
      </x:c>
      <x:c r="E324" s="26" t="str">
        <x:v>CORE</x:v>
      </x:c>
      <x:c r="F324" s="26" t="str">
        <x:v>R39</x:v>
      </x:c>
      <x:c r="G324" s="26" t="str">
        <x:v>R38, R22, R40</x:v>
      </x:c>
      <x:c r="H324" s="26" t="str">
        <x:v>R40</x:v>
      </x:c>
      <x:c r="I324" s="26" t="str">
        <x:v>R24</x:v>
      </x:c>
      <x:c r="J324" s="26" t="str">
        <x:v>Not started</x:v>
      </x:c>
      <x:c r="K324" s="26" t="str"/>
      <x:c r="L324" s="26" t="str">
        <x:v>Critical</x:v>
      </x:c>
    </x:row>
    <x:row r="325" ht="51" customHeight="1">
      <x:c r="A325" s="26" t="str">
        <x:v>OPS-19</x:v>
      </x:c>
      <x:c r="B325" s="26" t="str">
        <x:v>OPS</x:v>
      </x:c>
      <x:c r="C325" s="26" t="str">
        <x:v>Scalability and partitioning</x:v>
      </x:c>
      <x:c r="D325" s="26" t="str">
        <x:v>SHOULD</x:v>
      </x:c>
      <x:c r="E325" s="26" t="str">
        <x:v>ENTERPRISE</x:v>
      </x:c>
      <x:c r="F325" s="26" t="str">
        <x:v>R39</x:v>
      </x:c>
      <x:c r="G325" s="26" t="str">
        <x:v>R38, R22, R40</x:v>
      </x:c>
      <x:c r="H325" s="26" t="str">
        <x:v>R40</x:v>
      </x:c>
      <x:c r="I325" s="26" t="str">
        <x:v>R24</x:v>
      </x:c>
      <x:c r="J325" s="26" t="str">
        <x:v>Not started</x:v>
      </x:c>
      <x:c r="K325" s="26" t="str"/>
      <x:c r="L325" s="26" t="str">
        <x:v>Critical</x:v>
      </x:c>
    </x:row>
    <x:row r="326" ht="51" customHeight="1">
      <x:c r="A326" s="26" t="str">
        <x:v>OPS-20</x:v>
      </x:c>
      <x:c r="B326" s="26" t="str">
        <x:v>OPS</x:v>
      </x:c>
      <x:c r="C326" s="26" t="str">
        <x:v>Data restoration and selective recovery</x:v>
      </x:c>
      <x:c r="D326" s="26" t="str">
        <x:v>SHOULD</x:v>
      </x:c>
      <x:c r="E326" s="26" t="str">
        <x:v>ENTERPRISE</x:v>
      </x:c>
      <x:c r="F326" s="26" t="str">
        <x:v>R39</x:v>
      </x:c>
      <x:c r="G326" s="26" t="str">
        <x:v>R38, R22, R40</x:v>
      </x:c>
      <x:c r="H326" s="26" t="str">
        <x:v>R40</x:v>
      </x:c>
      <x:c r="I326" s="26" t="str">
        <x:v>R24</x:v>
      </x:c>
      <x:c r="J326" s="26" t="str">
        <x:v>Not started</x:v>
      </x:c>
      <x:c r="K326" s="26" t="str"/>
      <x:c r="L326" s="26" t="str">
        <x:v>Critical</x:v>
      </x:c>
    </x:row>
    <x:row r="327" ht="51" customHeight="1">
      <x:c r="A327" s="26" t="str">
        <x:v>OPS-21</x:v>
      </x:c>
      <x:c r="B327" s="26" t="str">
        <x:v>OPS</x:v>
      </x:c>
      <x:c r="C327" s="26" t="str">
        <x:v>Service continuity and exit plan</x:v>
      </x:c>
      <x:c r="D327" s="26" t="str">
        <x:v>ADVANCED</x:v>
      </x:c>
      <x:c r="E327" s="26" t="str">
        <x:v>EXPANSION</x:v>
      </x:c>
      <x:c r="F327" s="26" t="str">
        <x:v>R39</x:v>
      </x:c>
      <x:c r="G327" s="26" t="str">
        <x:v>R38, R22, R40</x:v>
      </x:c>
      <x:c r="H327" s="26" t="str">
        <x:v>R40</x:v>
      </x:c>
      <x:c r="I327" s="26" t="str">
        <x:v>R24</x:v>
      </x:c>
      <x:c r="J327" s="26" t="str">
        <x:v>Not started</x:v>
      </x:c>
      <x:c r="K327" s="26" t="str"/>
      <x:c r="L327" s="26" t="str">
        <x:v>Critical</x:v>
      </x:c>
    </x:row>
    <x:row r="328" ht="51" customHeight="1">
      <x:c r="A328" s="26" t="str">
        <x:v>MIG-01</x:v>
      </x:c>
      <x:c r="B328" s="26" t="str">
        <x:v>MIG</x:v>
      </x:c>
      <x:c r="C328" s="26" t="str">
        <x:v>Tenant onboarding wizard</x:v>
      </x:c>
      <x:c r="D328" s="26" t="str">
        <x:v>MUST</x:v>
      </x:c>
      <x:c r="E328" s="26" t="str">
        <x:v>CORE</x:v>
      </x:c>
      <x:c r="F328" s="26" t="str">
        <x:v>R10</x:v>
      </x:c>
      <x:c r="G328" s="26" t="str">
        <x:v>R42, R36, R40</x:v>
      </x:c>
      <x:c r="H328" s="26" t="str">
        <x:v>R40</x:v>
      </x:c>
      <x:c r="I328" s="26" t="str">
        <x:v>R19 / R40</x:v>
      </x:c>
      <x:c r="J328" s="26" t="str">
        <x:v>Not started</x:v>
      </x:c>
      <x:c r="K328" s="26" t="str"/>
      <x:c r="L328" s="26" t="str">
        <x:v>High</x:v>
      </x:c>
    </x:row>
    <x:row r="329" ht="51" customHeight="1">
      <x:c r="A329" s="26" t="str">
        <x:v>MIG-02</x:v>
      </x:c>
      <x:c r="B329" s="26" t="str">
        <x:v>MIG</x:v>
      </x:c>
      <x:c r="C329" s="26" t="str">
        <x:v>Legacy file-share import</x:v>
      </x:c>
      <x:c r="D329" s="26" t="str">
        <x:v>SHOULD</x:v>
      </x:c>
      <x:c r="E329" s="26" t="str">
        <x:v>ENTERPRISE</x:v>
      </x:c>
      <x:c r="F329" s="26" t="str">
        <x:v>R10</x:v>
      </x:c>
      <x:c r="G329" s="26" t="str">
        <x:v>R42, R36, R40</x:v>
      </x:c>
      <x:c r="H329" s="26" t="str">
        <x:v>R40</x:v>
      </x:c>
      <x:c r="I329" s="26" t="str">
        <x:v>R19 / R40</x:v>
      </x:c>
      <x:c r="J329" s="26" t="str">
        <x:v>Not started</x:v>
      </x:c>
      <x:c r="K329" s="26" t="str"/>
      <x:c r="L329" s="26" t="str">
        <x:v>High</x:v>
      </x:c>
    </x:row>
    <x:row r="330" ht="51" customHeight="1">
      <x:c r="A330" s="26" t="str">
        <x:v>MIG-03</x:v>
      </x:c>
      <x:c r="B330" s="26" t="str">
        <x:v>MIG</x:v>
      </x:c>
      <x:c r="C330" s="26" t="str">
        <x:v>SharePoint and cloud migration</x:v>
      </x:c>
      <x:c r="D330" s="26" t="str">
        <x:v>SHOULD</x:v>
      </x:c>
      <x:c r="E330" s="26" t="str">
        <x:v>ENTERPRISE</x:v>
      </x:c>
      <x:c r="F330" s="26" t="str">
        <x:v>R10</x:v>
      </x:c>
      <x:c r="G330" s="26" t="str">
        <x:v>R42, R36, R40</x:v>
      </x:c>
      <x:c r="H330" s="26" t="str">
        <x:v>R40</x:v>
      </x:c>
      <x:c r="I330" s="26" t="str">
        <x:v>R19 / R40</x:v>
      </x:c>
      <x:c r="J330" s="26" t="str">
        <x:v>Not started</x:v>
      </x:c>
      <x:c r="K330" s="26" t="str"/>
      <x:c r="L330" s="26" t="str">
        <x:v>High</x:v>
      </x:c>
    </x:row>
    <x:row r="331" ht="51" customHeight="1">
      <x:c r="A331" s="26" t="str">
        <x:v>MIG-04</x:v>
      </x:c>
      <x:c r="B331" s="26" t="str">
        <x:v>MIG</x:v>
      </x:c>
      <x:c r="C331" s="26" t="str">
        <x:v>Confluence and wiki import</x:v>
      </x:c>
      <x:c r="D331" s="26" t="str">
        <x:v>SHOULD</x:v>
      </x:c>
      <x:c r="E331" s="26" t="str">
        <x:v>ENTERPRISE</x:v>
      </x:c>
      <x:c r="F331" s="26" t="str">
        <x:v>R10</x:v>
      </x:c>
      <x:c r="G331" s="26" t="str">
        <x:v>R42, R36, R40</x:v>
      </x:c>
      <x:c r="H331" s="26" t="str">
        <x:v>R40</x:v>
      </x:c>
      <x:c r="I331" s="26" t="str">
        <x:v>R19 / R40</x:v>
      </x:c>
      <x:c r="J331" s="26" t="str">
        <x:v>Not started</x:v>
      </x:c>
      <x:c r="K331" s="26" t="str"/>
      <x:c r="L331" s="26" t="str">
        <x:v>High</x:v>
      </x:c>
    </x:row>
    <x:row r="332" ht="51" customHeight="1">
      <x:c r="A332" s="26" t="str">
        <x:v>MIG-05</x:v>
      </x:c>
      <x:c r="B332" s="26" t="str">
        <x:v>MIG</x:v>
      </x:c>
      <x:c r="C332" s="26" t="str">
        <x:v>Migration dry-run</x:v>
      </x:c>
      <x:c r="D332" s="26" t="str">
        <x:v>MUST</x:v>
      </x:c>
      <x:c r="E332" s="26" t="str">
        <x:v>CORE</x:v>
      </x:c>
      <x:c r="F332" s="26" t="str">
        <x:v>R10</x:v>
      </x:c>
      <x:c r="G332" s="26" t="str">
        <x:v>R42, R36, R40</x:v>
      </x:c>
      <x:c r="H332" s="26" t="str">
        <x:v>R40</x:v>
      </x:c>
      <x:c r="I332" s="26" t="str">
        <x:v>R19 / R40</x:v>
      </x:c>
      <x:c r="J332" s="26" t="str">
        <x:v>Not started</x:v>
      </x:c>
      <x:c r="K332" s="26" t="str"/>
      <x:c r="L332" s="26" t="str">
        <x:v>High</x:v>
      </x:c>
    </x:row>
    <x:row r="333" ht="51" customHeight="1">
      <x:c r="A333" s="26" t="str">
        <x:v>MIG-06</x:v>
      </x:c>
      <x:c r="B333" s="26" t="str">
        <x:v>MIG</x:v>
      </x:c>
      <x:c r="C333" s="26" t="str">
        <x:v>User/role mapping review</x:v>
      </x:c>
      <x:c r="D333" s="26" t="str">
        <x:v>MUST</x:v>
      </x:c>
      <x:c r="E333" s="26" t="str">
        <x:v>CORE</x:v>
      </x:c>
      <x:c r="F333" s="26" t="str">
        <x:v>R10</x:v>
      </x:c>
      <x:c r="G333" s="26" t="str">
        <x:v>R42, R36, R40</x:v>
      </x:c>
      <x:c r="H333" s="26" t="str">
        <x:v>R40</x:v>
      </x:c>
      <x:c r="I333" s="26" t="str">
        <x:v>R19 / R40</x:v>
      </x:c>
      <x:c r="J333" s="26" t="str">
        <x:v>Not started</x:v>
      </x:c>
      <x:c r="K333" s="26" t="str"/>
      <x:c r="L333" s="26" t="str">
        <x:v>High</x:v>
      </x:c>
    </x:row>
    <x:row r="334" ht="51" customHeight="1">
      <x:c r="A334" s="26" t="str">
        <x:v>MIG-07</x:v>
      </x:c>
      <x:c r="B334" s="26" t="str">
        <x:v>MIG</x:v>
      </x:c>
      <x:c r="C334" s="26" t="str">
        <x:v>Migration integrity manifest</x:v>
      </x:c>
      <x:c r="D334" s="26" t="str">
        <x:v>MUST</x:v>
      </x:c>
      <x:c r="E334" s="26" t="str">
        <x:v>CORE</x:v>
      </x:c>
      <x:c r="F334" s="26" t="str">
        <x:v>R10</x:v>
      </x:c>
      <x:c r="G334" s="26" t="str">
        <x:v>R42, R36, R40</x:v>
      </x:c>
      <x:c r="H334" s="26" t="str">
        <x:v>R40</x:v>
      </x:c>
      <x:c r="I334" s="26" t="str">
        <x:v>R19 / R40</x:v>
      </x:c>
      <x:c r="J334" s="26" t="str">
        <x:v>Not started</x:v>
      </x:c>
      <x:c r="K334" s="26" t="str"/>
      <x:c r="L334" s="26" t="str">
        <x:v>High</x:v>
      </x:c>
    </x:row>
    <x:row r="335" ht="51" customHeight="1">
      <x:c r="A335" s="26" t="str">
        <x:v>MIG-08</x:v>
      </x:c>
      <x:c r="B335" s="26" t="str">
        <x:v>MIG</x:v>
      </x:c>
      <x:c r="C335" s="26" t="str">
        <x:v>Pilot and phased rollout</x:v>
      </x:c>
      <x:c r="D335" s="26" t="str">
        <x:v>MUST</x:v>
      </x:c>
      <x:c r="E335" s="26" t="str">
        <x:v>CORE</x:v>
      </x:c>
      <x:c r="F335" s="26" t="str">
        <x:v>R10</x:v>
      </x:c>
      <x:c r="G335" s="26" t="str">
        <x:v>R42, R36, R40</x:v>
      </x:c>
      <x:c r="H335" s="26" t="str">
        <x:v>R40</x:v>
      </x:c>
      <x:c r="I335" s="26" t="str">
        <x:v>R19 / R40</x:v>
      </x:c>
      <x:c r="J335" s="26" t="str">
        <x:v>Not started</x:v>
      </x:c>
      <x:c r="K335" s="26" t="str"/>
      <x:c r="L335" s="26" t="str">
        <x:v>High</x:v>
      </x:c>
    </x:row>
    <x:row r="336" ht="51" customHeight="1">
      <x:c r="A336" s="26" t="str">
        <x:v>MIG-09</x:v>
      </x:c>
      <x:c r="B336" s="26" t="str">
        <x:v>MIG</x:v>
      </x:c>
      <x:c r="C336" s="26" t="str">
        <x:v>User training and certification</x:v>
      </x:c>
      <x:c r="D336" s="26" t="str">
        <x:v>SHOULD</x:v>
      </x:c>
      <x:c r="E336" s="26" t="str">
        <x:v>ENTERPRISE</x:v>
      </x:c>
      <x:c r="F336" s="26" t="str">
        <x:v>R10</x:v>
      </x:c>
      <x:c r="G336" s="26" t="str">
        <x:v>R42, R36, R40</x:v>
      </x:c>
      <x:c r="H336" s="26" t="str">
        <x:v>R40</x:v>
      </x:c>
      <x:c r="I336" s="26" t="str">
        <x:v>R19 / R40</x:v>
      </x:c>
      <x:c r="J336" s="26" t="str">
        <x:v>Not started</x:v>
      </x:c>
      <x:c r="K336" s="26" t="str"/>
      <x:c r="L336" s="26" t="str">
        <x:v>High</x:v>
      </x:c>
    </x:row>
    <x:row r="337" ht="51" customHeight="1">
      <x:c r="A337" s="26" t="str">
        <x:v>MIG-10</x:v>
      </x:c>
      <x:c r="B337" s="26" t="str">
        <x:v>MIG</x:v>
      </x:c>
      <x:c r="C337" s="26" t="str">
        <x:v>Knowledge migration cleanup</x:v>
      </x:c>
      <x:c r="D337" s="26" t="str">
        <x:v>SHOULD</x:v>
      </x:c>
      <x:c r="E337" s="26" t="str">
        <x:v>ENTERPRISE</x:v>
      </x:c>
      <x:c r="F337" s="26" t="str">
        <x:v>R10</x:v>
      </x:c>
      <x:c r="G337" s="26" t="str">
        <x:v>R42, R36, R40</x:v>
      </x:c>
      <x:c r="H337" s="26" t="str">
        <x:v>R40</x:v>
      </x:c>
      <x:c r="I337" s="26" t="str">
        <x:v>R19 / R40</x:v>
      </x:c>
      <x:c r="J337" s="26" t="str">
        <x:v>Not started</x:v>
      </x:c>
      <x:c r="K337" s="26" t="str"/>
      <x:c r="L337" s="26" t="str">
        <x:v>High</x:v>
      </x:c>
    </x:row>
    <x:row r="338" ht="51" customHeight="1">
      <x:c r="A338" s="26" t="str">
        <x:v>MIG-11</x:v>
      </x:c>
      <x:c r="B338" s="26" t="str">
        <x:v>MIG</x:v>
      </x:c>
      <x:c r="C338" s="26" t="str">
        <x:v>Support and help desk integration</x:v>
      </x:c>
      <x:c r="D338" s="26" t="str">
        <x:v>SHOULD</x:v>
      </x:c>
      <x:c r="E338" s="26" t="str">
        <x:v>ENTERPRISE</x:v>
      </x:c>
      <x:c r="F338" s="26" t="str">
        <x:v>R10</x:v>
      </x:c>
      <x:c r="G338" s="26" t="str">
        <x:v>R42, R36, R40</x:v>
      </x:c>
      <x:c r="H338" s="26" t="str">
        <x:v>R40</x:v>
      </x:c>
      <x:c r="I338" s="26" t="str">
        <x:v>R19 / R40</x:v>
      </x:c>
      <x:c r="J338" s="26" t="str">
        <x:v>Not started</x:v>
      </x:c>
      <x:c r="K338" s="26" t="str"/>
      <x:c r="L338" s="26" t="str">
        <x:v>High</x:v>
      </x:c>
    </x:row>
    <x:row r="339" ht="51" customHeight="1">
      <x:c r="A339" s="26" t="str">
        <x:v>MIG-12</x:v>
      </x:c>
      <x:c r="B339" s="26" t="str">
        <x:v>MIG</x:v>
      </x:c>
      <x:c r="C339" s="26" t="str">
        <x:v>Documentation and API guides</x:v>
      </x:c>
      <x:c r="D339" s="26" t="str">
        <x:v>MUST</x:v>
      </x:c>
      <x:c r="E339" s="26" t="str">
        <x:v>CORE</x:v>
      </x:c>
      <x:c r="F339" s="26" t="str">
        <x:v>R10</x:v>
      </x:c>
      <x:c r="G339" s="26" t="str">
        <x:v>R42, R36, R40</x:v>
      </x:c>
      <x:c r="H339" s="26" t="str">
        <x:v>R40</x:v>
      </x:c>
      <x:c r="I339" s="26" t="str">
        <x:v>R19 / R40</x:v>
      </x:c>
      <x:c r="J339" s="26" t="str">
        <x:v>Not started</x:v>
      </x:c>
      <x:c r="K339" s="26" t="str"/>
      <x:c r="L339" s="26" t="str">
        <x:v>High</x:v>
      </x:c>
    </x:row>
    <x:row r="340" ht="51" customHeight="1">
      <x:c r="A340" s="26" t="str">
        <x:v>MIG-13</x:v>
      </x:c>
      <x:c r="B340" s="26" t="str">
        <x:v>MIG</x:v>
      </x:c>
      <x:c r="C340" s="26" t="str">
        <x:v>Training sandbox</x:v>
      </x:c>
      <x:c r="D340" s="26" t="str">
        <x:v>SHOULD</x:v>
      </x:c>
      <x:c r="E340" s="26" t="str">
        <x:v>ENTERPRISE</x:v>
      </x:c>
      <x:c r="F340" s="26" t="str">
        <x:v>R10</x:v>
      </x:c>
      <x:c r="G340" s="26" t="str">
        <x:v>R42, R36, R40</x:v>
      </x:c>
      <x:c r="H340" s="26" t="str">
        <x:v>R40</x:v>
      </x:c>
      <x:c r="I340" s="26" t="str">
        <x:v>R19 / R40</x:v>
      </x:c>
      <x:c r="J340" s="26" t="str">
        <x:v>Not started</x:v>
      </x:c>
      <x:c r="K340" s="26" t="str"/>
      <x:c r="L340" s="26" t="str">
        <x:v>High</x:v>
      </x:c>
    </x:row>
    <x:row r="341" ht="51" customHeight="1">
      <x:c r="A341" s="26" t="str">
        <x:v>VRP-01</x:v>
      </x:c>
      <x:c r="B341" s="26" t="str">
        <x:v>VRP</x:v>
      </x:c>
      <x:c r="C341" s="26" t="str">
        <x:v>Contract lifecycle management</x:v>
      </x:c>
      <x:c r="D341" s="26" t="str">
        <x:v>ADVANCED</x:v>
      </x:c>
      <x:c r="E341" s="26" t="str">
        <x:v>EXPANSION</x:v>
      </x:c>
      <x:c r="F341" s="26" t="str">
        <x:v>R03</x:v>
      </x:c>
      <x:c r="G341" s="26" t="str">
        <x:v>R33, R29, R30</x:v>
      </x:c>
      <x:c r="H341" s="26" t="str">
        <x:v>R40</x:v>
      </x:c>
      <x:c r="I341" s="26" t="str">
        <x:v>R19 / R40</x:v>
      </x:c>
      <x:c r="J341" s="26" t="str">
        <x:v>Not started</x:v>
      </x:c>
      <x:c r="K341" s="26" t="str"/>
      <x:c r="L341" s="26" t="str">
        <x:v>Medium</x:v>
      </x:c>
    </x:row>
    <x:row r="342" ht="51" customHeight="1">
      <x:c r="A342" s="26" t="str">
        <x:v>VRP-02</x:v>
      </x:c>
      <x:c r="B342" s="26" t="str">
        <x:v>VRP</x:v>
      </x:c>
      <x:c r="C342" s="26" t="str">
        <x:v>Board and committee portal</x:v>
      </x:c>
      <x:c r="D342" s="26" t="str">
        <x:v>ADVANCED</x:v>
      </x:c>
      <x:c r="E342" s="26" t="str">
        <x:v>EXPANSION</x:v>
      </x:c>
      <x:c r="F342" s="26" t="str">
        <x:v>R03</x:v>
      </x:c>
      <x:c r="G342" s="26" t="str">
        <x:v>R33, R29, R30</x:v>
      </x:c>
      <x:c r="H342" s="26" t="str">
        <x:v>R40</x:v>
      </x:c>
      <x:c r="I342" s="26" t="str">
        <x:v>R19 / R40</x:v>
      </x:c>
      <x:c r="J342" s="26" t="str">
        <x:v>Not started</x:v>
      </x:c>
      <x:c r="K342" s="26" t="str"/>
      <x:c r="L342" s="26" t="str">
        <x:v>Medium</x:v>
      </x:c>
    </x:row>
    <x:row r="343" ht="51" customHeight="1">
      <x:c r="A343" s="26" t="str">
        <x:v>VRP-03</x:v>
      </x:c>
      <x:c r="B343" s="26" t="str">
        <x:v>VRP</x:v>
      </x:c>
      <x:c r="C343" s="26" t="str">
        <x:v>Policy and SOP control center</x:v>
      </x:c>
      <x:c r="D343" s="26" t="str">
        <x:v>SHOULD</x:v>
      </x:c>
      <x:c r="E343" s="26" t="str">
        <x:v>ENTERPRISE</x:v>
      </x:c>
      <x:c r="F343" s="26" t="str">
        <x:v>R03</x:v>
      </x:c>
      <x:c r="G343" s="26" t="str">
        <x:v>R33, R29, R30</x:v>
      </x:c>
      <x:c r="H343" s="26" t="str">
        <x:v>R40</x:v>
      </x:c>
      <x:c r="I343" s="26" t="str">
        <x:v>R19 / R40</x:v>
      </x:c>
      <x:c r="J343" s="26" t="str">
        <x:v>Not started</x:v>
      </x:c>
      <x:c r="K343" s="26" t="str"/>
      <x:c r="L343" s="26" t="str">
        <x:v>Medium</x:v>
      </x:c>
    </x:row>
    <x:row r="344" ht="51" customHeight="1">
      <x:c r="A344" s="26" t="str">
        <x:v>VRP-04</x:v>
      </x:c>
      <x:c r="B344" s="26" t="str">
        <x:v>VRP</x:v>
      </x:c>
      <x:c r="C344" s="26" t="str">
        <x:v>Quality management and CAPA</x:v>
      </x:c>
      <x:c r="D344" s="26" t="str">
        <x:v>ADVANCED</x:v>
      </x:c>
      <x:c r="E344" s="26" t="str">
        <x:v>EXPANSION</x:v>
      </x:c>
      <x:c r="F344" s="26" t="str">
        <x:v>R03</x:v>
      </x:c>
      <x:c r="G344" s="26" t="str">
        <x:v>R33, R29, R30</x:v>
      </x:c>
      <x:c r="H344" s="26" t="str">
        <x:v>R40</x:v>
      </x:c>
      <x:c r="I344" s="26" t="str">
        <x:v>R19 / R40</x:v>
      </x:c>
      <x:c r="J344" s="26" t="str">
        <x:v>Not started</x:v>
      </x:c>
      <x:c r="K344" s="26" t="str"/>
      <x:c r="L344" s="26" t="str">
        <x:v>Medium</x:v>
      </x:c>
    </x:row>
    <x:row r="345" ht="51" customHeight="1">
      <x:c r="A345" s="26" t="str">
        <x:v>VRP-05</x:v>
      </x:c>
      <x:c r="B345" s="26" t="str">
        <x:v>VRP</x:v>
      </x:c>
      <x:c r="C345" s="26" t="str">
        <x:v>Risk and compliance register</x:v>
      </x:c>
      <x:c r="D345" s="26" t="str">
        <x:v>ADVANCED</x:v>
      </x:c>
      <x:c r="E345" s="26" t="str">
        <x:v>EXPANSION</x:v>
      </x:c>
      <x:c r="F345" s="26" t="str">
        <x:v>R03</x:v>
      </x:c>
      <x:c r="G345" s="26" t="str">
        <x:v>R33, R29, R30</x:v>
      </x:c>
      <x:c r="H345" s="26" t="str">
        <x:v>R40</x:v>
      </x:c>
      <x:c r="I345" s="26" t="str">
        <x:v>R19 / R40</x:v>
      </x:c>
      <x:c r="J345" s="26" t="str">
        <x:v>Not started</x:v>
      </x:c>
      <x:c r="K345" s="26" t="str"/>
      <x:c r="L345" s="26" t="str">
        <x:v>Medium</x:v>
      </x:c>
    </x:row>
    <x:row r="346" ht="51" customHeight="1">
      <x:c r="A346" s="26" t="str">
        <x:v>VRP-06</x:v>
      </x:c>
      <x:c r="B346" s="26" t="str">
        <x:v>VRP</x:v>
      </x:c>
      <x:c r="C346" s="26" t="str">
        <x:v>Project document control</x:v>
      </x:c>
      <x:c r="D346" s="26" t="str">
        <x:v>ADVANCED</x:v>
      </x:c>
      <x:c r="E346" s="26" t="str">
        <x:v>EXPANSION</x:v>
      </x:c>
      <x:c r="F346" s="26" t="str">
        <x:v>R03</x:v>
      </x:c>
      <x:c r="G346" s="26" t="str">
        <x:v>R33, R29, R30</x:v>
      </x:c>
      <x:c r="H346" s="26" t="str">
        <x:v>R40</x:v>
      </x:c>
      <x:c r="I346" s="26" t="str">
        <x:v>R19 / R40</x:v>
      </x:c>
      <x:c r="J346" s="26" t="str">
        <x:v>Not started</x:v>
      </x:c>
      <x:c r="K346" s="26" t="str"/>
      <x:c r="L346" s="26" t="str">
        <x:v>Medium</x:v>
      </x:c>
    </x:row>
    <x:row r="347" ht="51" customHeight="1">
      <x:c r="A347" s="26" t="str">
        <x:v>VRP-07</x:v>
      </x:c>
      <x:c r="B347" s="26" t="str">
        <x:v>VRP</x:v>
      </x:c>
      <x:c r="C347" s="26" t="str">
        <x:v>HR document vault</x:v>
      </x:c>
      <x:c r="D347" s="26" t="str">
        <x:v>ADVANCED</x:v>
      </x:c>
      <x:c r="E347" s="26" t="str">
        <x:v>EXPANSION</x:v>
      </x:c>
      <x:c r="F347" s="26" t="str">
        <x:v>R03</x:v>
      </x:c>
      <x:c r="G347" s="26" t="str">
        <x:v>R33, R29, R30</x:v>
      </x:c>
      <x:c r="H347" s="26" t="str">
        <x:v>R40</x:v>
      </x:c>
      <x:c r="I347" s="26" t="str">
        <x:v>R19 / R40</x:v>
      </x:c>
      <x:c r="J347" s="26" t="str">
        <x:v>Not started</x:v>
      </x:c>
      <x:c r="K347" s="26" t="str"/>
      <x:c r="L347" s="26" t="str">
        <x:v>Medium</x:v>
      </x:c>
    </x:row>
    <x:row r="348" ht="51" customHeight="1">
      <x:c r="A348" s="26" t="str">
        <x:v>VRP-08</x:v>
      </x:c>
      <x:c r="B348" s="26" t="str">
        <x:v>VRP</x:v>
      </x:c>
      <x:c r="C348" s="26" t="str">
        <x:v>Procurement and vendor dossiers</x:v>
      </x:c>
      <x:c r="D348" s="26" t="str">
        <x:v>ADVANCED</x:v>
      </x:c>
      <x:c r="E348" s="26" t="str">
        <x:v>EXPANSION</x:v>
      </x:c>
      <x:c r="F348" s="26" t="str">
        <x:v>R03</x:v>
      </x:c>
      <x:c r="G348" s="26" t="str">
        <x:v>R33, R29, R30</x:v>
      </x:c>
      <x:c r="H348" s="26" t="str">
        <x:v>R40</x:v>
      </x:c>
      <x:c r="I348" s="26" t="str">
        <x:v>R19 / R40</x:v>
      </x:c>
      <x:c r="J348" s="26" t="str">
        <x:v>Not started</x:v>
      </x:c>
      <x:c r="K348" s="26" t="str"/>
      <x:c r="L348" s="26" t="str">
        <x:v>Medium</x:v>
      </x:c>
    </x:row>
    <x:row r="349" ht="51" customHeight="1">
      <x:c r="A349" s="26" t="str">
        <x:v>VRP-09</x:v>
      </x:c>
      <x:c r="B349" s="26" t="str">
        <x:v>VRP</x:v>
      </x:c>
      <x:c r="C349" s="26" t="str">
        <x:v>Secure data-room analytics</x:v>
      </x:c>
      <x:c r="D349" s="26" t="str">
        <x:v>ADVANCED</x:v>
      </x:c>
      <x:c r="E349" s="26" t="str">
        <x:v>EXPANSION</x:v>
      </x:c>
      <x:c r="F349" s="26" t="str">
        <x:v>R03</x:v>
      </x:c>
      <x:c r="G349" s="26" t="str">
        <x:v>R33, R29, R30</x:v>
      </x:c>
      <x:c r="H349" s="26" t="str">
        <x:v>R40</x:v>
      </x:c>
      <x:c r="I349" s="26" t="str">
        <x:v>R19 / R40</x:v>
      </x:c>
      <x:c r="J349" s="26" t="str">
        <x:v>Not started</x:v>
      </x:c>
      <x:c r="K349" s="26" t="str"/>
      <x:c r="L349" s="26" t="str">
        <x:v>Medium</x:v>
      </x:c>
    </x:row>
    <x:row r="350" ht="51" customHeight="1">
      <x:c r="A350" s="26" t="str">
        <x:v>VRP-10</x:v>
      </x:c>
      <x:c r="B350" s="26" t="str">
        <x:v>VRP</x:v>
      </x:c>
      <x:c r="C350" s="26" t="str">
        <x:v>Industry modules SDK</x:v>
      </x:c>
      <x:c r="D350" s="26" t="str">
        <x:v>ADVANCED</x:v>
      </x:c>
      <x:c r="E350" s="26" t="str">
        <x:v>EXPANSION</x:v>
      </x:c>
      <x:c r="F350" s="26" t="str">
        <x:v>R03</x:v>
      </x:c>
      <x:c r="G350" s="26" t="str">
        <x:v>R33, R29, R30</x:v>
      </x:c>
      <x:c r="H350" s="26" t="str">
        <x:v>R40</x:v>
      </x:c>
      <x:c r="I350" s="26" t="str">
        <x:v>R19 / R40</x:v>
      </x:c>
      <x:c r="J350" s="26" t="str">
        <x:v>Not started</x:v>
      </x:c>
      <x:c r="K350" s="26" t="str"/>
      <x:c r="L350" s="26" t="str">
        <x:v>Medium</x:v>
      </x:c>
    </x:row>
  </x:sheetData>
  <x:mergeCells>
    <x:mergeCell ref="A1:L2"/>
    <x:mergeCell ref="A3:L3"/>
  </x:mergeCells>
  <x:dataValidations count="1">
    <x:dataValidation type="list" sqref="J5:J350">
      <x:formula1>"Not started,In design,In development,In test,Ready for review,Accepted,Blocked"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38" hidden="0" customWidth="1"/>
    <x:col min="4" max="4" width="56" hidden="0" customWidth="1"/>
    <x:col min="5" max="5" width="61" hidden="0" customWidth="1"/>
    <x:col min="6" max="6" width="15" hidden="0" customWidth="1"/>
    <x:col min="7" max="7" width="24" hidden="0" customWidth="1"/>
    <x:col min="8" max="8" width="60" hidden="0" customWidth="1"/>
    <x:col min="9" max="9" width="17" hidden="0" customWidth="1"/>
    <x:col min="10" max="10" width="34" hidden="0" customWidth="1"/>
  </x:cols>
  <x:sheetData>
    <x:row r="1" ht="23" customHeight="1">
      <x:c r="A1" s="4" t="str">
        <x:v>RISK REGISTER  |  KMS DELIVERY REVIEW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9" customHeight="1">
      <x:c r="A3" s="11" t="str">
        <x:v>Risk hypotheses for a product not yet built; Blockers prohibit high-assurance launch. Track validation evidence and residual risk review.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28" customHeight="1">
      <x:c r="A4" s="19" t="str">
        <x:v>Risk ID</x:v>
      </x:c>
      <x:c r="B4" s="19" t="str">
        <x:v>Severity</x:v>
      </x:c>
      <x:c r="C4" s="19" t="str">
        <x:v>Failure category</x:v>
      </x:c>
      <x:c r="D4" s="19" t="str">
        <x:v>Scenario / impact</x:v>
      </x:c>
      <x:c r="E4" s="19" t="str">
        <x:v>Mitigation / decision</x:v>
      </x:c>
      <x:c r="F4" s="19" t="str">
        <x:v>Accountable</x:v>
      </x:c>
      <x:c r="G4" s="19" t="str">
        <x:v>Affected modules</x:v>
      </x:c>
      <x:c r="H4" s="19" t="str">
        <x:v>Required acceptance evidence</x:v>
      </x:c>
      <x:c r="I4" s="19" t="str">
        <x:v>Risk state</x:v>
      </x:c>
      <x:c r="J4" s="19" t="str">
        <x:v>Evidence / owner notes</x:v>
      </x:c>
    </x:row>
    <x:row r="5" ht="51" customHeight="1">
      <x:c r="A5" s="26" t="str">
        <x:v>K-01</x:v>
      </x:c>
      <x:c r="B5" s="26" t="str">
        <x:v>Blocker</x:v>
      </x:c>
      <x:c r="C5" s="26" t="str">
        <x:v>Compromised WordPress bypasses vault</x:v>
      </x:c>
      <x:c r="D5" s="26" t="str">
        <x:v>Injected scripts or bridge tokens access plaintext or protected key material.</x:v>
      </x:c>
      <x:c r="E5" s="26" t="str">
        <x:v>Independently authenticated signed client; narrow WordPress bridge; hostile-WP tabletop.</x:v>
      </x:c>
      <x:c r="F5" s="26" t="str">
        <x:v>R20</x:v>
      </x:c>
      <x:c r="G5" s="26" t="str">
        <x:v>ENC,API,SEC</x:v>
      </x:c>
      <x:c r="H5" s="26" t="str">
        <x:v>WP full-RCE scenario cannot obtain private keys, plaintext or new recipients.</x:v>
      </x:c>
      <x:c r="I5" s="26" t="str">
        <x:v>Open</x:v>
      </x:c>
      <x:c r="J5" s="26" t="str"/>
    </x:row>
    <x:row r="6" ht="51" customHeight="1">
      <x:c r="A6" s="26" t="str">
        <x:v>K-02</x:v>
      </x:c>
      <x:c r="B6" s="26" t="str">
        <x:v>Blocker</x:v>
      </x:c>
      <x:c r="C6" s="26" t="str">
        <x:v>Cross-tenant object reference</x:v>
      </x:c>
      <x:c r="D6" s="26" t="str">
        <x:v>Tenant A guesses tenant B document/version ID.</x:v>
      </x:c>
      <x:c r="E6" s="26" t="str">
        <x:v>Central authorization with immutable tenant binding, scoped storage, negative tests.</x:v>
      </x:c>
      <x:c r="F6" s="26" t="str">
        <x:v>R21</x:v>
      </x:c>
      <x:c r="G6" s="26" t="str">
        <x:v>TEN,IAM,DOC</x:v>
      </x:c>
      <x:c r="H6" s="26" t="str">
        <x:v>Fuzz IDs across every API, cache and export path; all blocked.</x:v>
      </x:c>
      <x:c r="I6" s="26" t="str">
        <x:v>Open</x:v>
      </x:c>
      <x:c r="J6" s="26" t="str"/>
    </x:row>
    <x:row r="7" ht="51" customHeight="1">
      <x:c r="A7" s="26" t="str">
        <x:v>K-03</x:v>
      </x:c>
      <x:c r="B7" s="26" t="str">
        <x:v>Blocker</x:v>
      </x:c>
      <x:c r="C7" s="26" t="str">
        <x:v>Holding admin gets implicit decryption</x:v>
      </x:c>
      <x:c r="D7" s="26" t="str">
        <x:v>Group-level role maps to content access or recovery.</x:v>
      </x:c>
      <x:c r="E7" s="26" t="str">
        <x:v>Separate administrative plane, content grants and independent trustees.</x:v>
      </x:c>
      <x:c r="F7" s="26" t="str">
        <x:v>R02</x:v>
      </x:c>
      <x:c r="G7" s="26" t="str">
        <x:v>TEN,IAM,ENC</x:v>
      </x:c>
      <x:c r="H7" s="26" t="str">
        <x:v>Holding admin without explicit grant sees no protected content.</x:v>
      </x:c>
      <x:c r="I7" s="26" t="str">
        <x:v>Open</x:v>
      </x:c>
      <x:c r="J7" s="26" t="str"/>
    </x:row>
    <x:row r="8" ht="51" customHeight="1">
      <x:c r="A8" s="26" t="str">
        <x:v>K-04</x:v>
      </x:c>
      <x:c r="B8" s="26" t="str">
        <x:v>Blocker</x:v>
      </x:c>
      <x:c r="C8" s="26" t="str">
        <x:v>Key-directory substitution</x:v>
      </x:c>
      <x:c r="D8" s="26" t="str">
        <x:v>Server silently replaces an intended recipient public key.</x:v>
      </x:c>
      <x:c r="E8" s="26" t="str">
        <x:v>Signed recipient identity, key-transparency or out-of-band device verification.</x:v>
      </x:c>
      <x:c r="F8" s="26" t="str">
        <x:v>R20</x:v>
      </x:c>
      <x:c r="G8" s="26" t="str">
        <x:v>ENC,AUT,EXT</x:v>
      </x:c>
      <x:c r="H8" s="26" t="str">
        <x:v>Unauthorized recipient enrollment and key swap detected and rejected.</x:v>
      </x:c>
      <x:c r="I8" s="26" t="str">
        <x:v>Open</x:v>
      </x:c>
      <x:c r="J8" s="26" t="str"/>
    </x:row>
    <x:row r="9" ht="51" customHeight="1">
      <x:c r="A9" s="26" t="str">
        <x:v>K-05</x:v>
      </x:c>
      <x:c r="B9" s="26" t="str">
        <x:v>Blocker</x:v>
      </x:c>
      <x:c r="C9" s="26" t="str">
        <x:v>Losing keys means losing records</x:v>
      </x:c>
      <x:c r="D9" s="26" t="str">
        <x:v>E2EE users lose private keys without recovery plan.</x:v>
      </x:c>
      <x:c r="E9" s="26" t="str">
        <x:v>Choose no-recovery vs trustee quorum before roll-out; rehearsed recoveries.</x:v>
      </x:c>
      <x:c r="F9" s="26" t="str">
        <x:v>R26</x:v>
      </x:c>
      <x:c r="G9" s="26" t="str">
        <x:v>ENC,REC,OPS</x:v>
      </x:c>
      <x:c r="H9" s="26" t="str">
        <x:v>Recover permitted tenant with quorum; minority cannot recover.</x:v>
      </x:c>
      <x:c r="I9" s="26" t="str">
        <x:v>Open</x:v>
      </x:c>
      <x:c r="J9" s="26" t="str"/>
    </x:row>
    <x:row r="10" ht="51" customHeight="1">
      <x:c r="A10" s="26" t="str">
        <x:v>K-06</x:v>
      </x:c>
      <x:c r="B10" s="26" t="str">
        <x:v>Blocker</x:v>
      </x:c>
      <x:c r="C10" s="26" t="str">
        <x:v>E2EE mode leakage through derived content</x:v>
      </x:c>
      <x:c r="D10" s="26" t="str">
        <x:v>Previews, thumbnails, search snippets or logs persist plaintext.</x:v>
      </x:c>
      <x:c r="E10" s="26" t="str">
        <x:v>Classify derivatives as documents; restrict processing to trusted client.</x:v>
      </x:c>
      <x:c r="F10" s="26" t="str">
        <x:v>R20</x:v>
      </x:c>
      <x:c r="G10" s="26" t="str">
        <x:v>DOC,MET,RPT,SEC</x:v>
      </x:c>
      <x:c r="H10" s="26" t="str">
        <x:v>DB, queue and object dump contain no protected derivative plaintext.</x:v>
      </x:c>
      <x:c r="I10" s="26" t="str">
        <x:v>Open</x:v>
      </x:c>
      <x:c r="J10" s="26" t="str"/>
    </x:row>
    <x:row r="11" ht="51" customHeight="1">
      <x:c r="A11" s="26" t="str">
        <x:v>K-07</x:v>
      </x:c>
      <x:c r="B11" s="26" t="str">
        <x:v>Blocker</x:v>
      </x:c>
      <x:c r="C11" s="26" t="str">
        <x:v>Retention and destruction conflict</x:v>
      </x:c>
      <x:c r="D11" s="26" t="str">
        <x:v>Legal hold ignored during crypto erasure or object expiration.</x:v>
      </x:c>
      <x:c r="E11" s="26" t="str">
        <x:v>Hold priority engine covering backups, versions, exported legal copies.</x:v>
      </x:c>
      <x:c r="F11" s="26" t="str">
        <x:v>R12</x:v>
      </x:c>
      <x:c r="G11" s="26" t="str">
        <x:v>REC,ENC,OPS</x:v>
      </x:c>
      <x:c r="H11" s="26" t="str">
        <x:v>Held record cannot be deleted by any supported destruction mechanism.</x:v>
      </x:c>
      <x:c r="I11" s="26" t="str">
        <x:v>Open</x:v>
      </x:c>
      <x:c r="J11" s="26" t="str"/>
    </x:row>
    <x:row r="12" ht="51" customHeight="1">
      <x:c r="A12" s="26" t="str">
        <x:v>K-08</x:v>
      </x:c>
      <x:c r="B12" s="26" t="str">
        <x:v>Blocker</x:v>
      </x:c>
      <x:c r="C12" s="26" t="str">
        <x:v>Server-side malware scanner blind in E2EE</x:v>
      </x:c>
      <x:c r="D12" s="26" t="str">
        <x:v>Ciphertext bypasses content inspection but labeled safe.</x:v>
      </x:c>
      <x:c r="E12" s="26" t="str">
        <x:v>Mode-specific ingestion/scanning policy, quarantine and residual risk disclosure.</x:v>
      </x:c>
      <x:c r="F12" s="26" t="str">
        <x:v>R19</x:v>
      </x:c>
      <x:c r="G12" s="26" t="str">
        <x:v>SEC,DOC,ENC</x:v>
      </x:c>
      <x:c r="H12" s="26" t="str">
        <x:v>Opaque E2EE files never get falsely labeled fully server-scanned.</x:v>
      </x:c>
      <x:c r="I12" s="26" t="str">
        <x:v>Open</x:v>
      </x:c>
      <x:c r="J12" s="26" t="str"/>
    </x:row>
    <x:row r="13" ht="51" customHeight="1">
      <x:c r="A13" s="26" t="str">
        <x:v>K-09</x:v>
      </x:c>
      <x:c r="B13" s="26" t="str">
        <x:v>Blocker</x:v>
      </x:c>
      <x:c r="C13" s="26" t="str">
        <x:v>Approval bypass via workflow races</x:v>
      </x:c>
      <x:c r="D13" s="26" t="str">
        <x:v>Reviewer approves one hash while different file is published.</x:v>
      </x:c>
      <x:c r="E13" s="26" t="str">
        <x:v>Immutable version/hash binding; maker/checker; idempotent transactional engine.</x:v>
      </x:c>
      <x:c r="F13" s="26" t="str">
        <x:v>R33</x:v>
      </x:c>
      <x:c r="G13" s="26" t="str">
        <x:v>WFL,COL,REC</x:v>
      </x:c>
      <x:c r="H13" s="26" t="str">
        <x:v>Swap, retry and concurrent approval tests fail closed.</x:v>
      </x:c>
      <x:c r="I13" s="26" t="str">
        <x:v>Open</x:v>
      </x:c>
      <x:c r="J13" s="26" t="str"/>
    </x:row>
    <x:row r="14" ht="51" customHeight="1">
      <x:c r="A14" s="26" t="str">
        <x:v>K-10</x:v>
      </x:c>
      <x:c r="B14" s="26" t="str">
        <x:v>Blocker</x:v>
      </x:c>
      <x:c r="C14" s="26" t="str">
        <x:v>Compromised key trustee or escrow abuse</x:v>
      </x:c>
      <x:c r="D14" s="26" t="str">
        <x:v>Single trustee or platform operator recovers keys covertly.</x:v>
      </x:c>
      <x:c r="E14" s="26" t="str">
        <x:v>Independent quorum approvals, audit, dual control and restricted trustees.</x:v>
      </x:c>
      <x:c r="F14" s="26" t="str">
        <x:v>R26</x:v>
      </x:c>
      <x:c r="G14" s="26" t="str">
        <x:v>ENC,IAM,RPT</x:v>
      </x:c>
      <x:c r="H14" s="26" t="str">
        <x:v>No single account can recover; every approved recovery leaves evidence.</x:v>
      </x:c>
      <x:c r="I14" s="26" t="str">
        <x:v>Open</x:v>
      </x:c>
      <x:c r="J14" s="26" t="str"/>
    </x:row>
    <x:row r="15" ht="51" customHeight="1">
      <x:c r="A15" s="26" t="str">
        <x:v>K-11</x:v>
      </x:c>
      <x:c r="B15" s="26" t="str">
        <x:v>Blocker</x:v>
      </x:c>
      <x:c r="C15" s="26" t="str">
        <x:v>Broken restore reintroduces access</x:v>
      </x:c>
      <x:c r="D15" s="26" t="str">
        <x:v>Backup restoration resurrects expired roles, tokens or deleted documents.</x:v>
      </x:c>
      <x:c r="E15" s="26" t="str">
        <x:v>Restore reconciliation; revalidate identity/holds; post-restore policy replay.</x:v>
      </x:c>
      <x:c r="F15" s="26" t="str">
        <x:v>R39</x:v>
      </x:c>
      <x:c r="G15" s="26" t="str">
        <x:v>OPS,IAM,REC</x:v>
      </x:c>
      <x:c r="H15" s="26" t="str">
        <x:v>Restored tenant honors current revocations and retention policy.</x:v>
      </x:c>
      <x:c r="I15" s="26" t="str">
        <x:v>Open</x:v>
      </x:c>
      <x:c r="J15" s="26" t="str"/>
    </x:row>
    <x:row r="16" ht="51" customHeight="1">
      <x:c r="A16" s="26" t="str">
        <x:v>K-12</x:v>
      </x:c>
      <x:c r="B16" s="26" t="str">
        <x:v>Blocker</x:v>
      </x:c>
      <x:c r="C16" s="26" t="str">
        <x:v>Malicious conversion payload escapes sandbox</x:v>
      </x:c>
      <x:c r="D16" s="26" t="str">
        <x:v>Untrusted PDF/Office exploit reaches keys or tenant data.</x:v>
      </x:c>
      <x:c r="E16" s="26" t="str">
        <x:v>Isolated egress-denied workers, strict quotas and patching.</x:v>
      </x:c>
      <x:c r="F16" s="26" t="str">
        <x:v>R22</x:v>
      </x:c>
      <x:c r="G16" s="26" t="str">
        <x:v>DOC,SEC</x:v>
      </x:c>
      <x:c r="H16" s="26" t="str">
        <x:v>Exploit exercises cannot reach KMS, private networks or other tenants.</x:v>
      </x:c>
      <x:c r="I16" s="26" t="str">
        <x:v>Open</x:v>
      </x:c>
      <x:c r="J16" s="26" t="str"/>
    </x:row>
    <x:row r="17" ht="51" customHeight="1">
      <x:c r="A17" s="26" t="str">
        <x:v>K-13</x:v>
      </x:c>
      <x:c r="B17" s="26" t="str">
        <x:v>High</x:v>
      </x:c>
      <x:c r="C17" s="26" t="str">
        <x:v>Offline copies remain accessible</x:v>
      </x:c>
      <x:c r="D17" s="26" t="str">
        <x:v>User expects remote wipe or revocation to destroy previous files.</x:v>
      </x:c>
      <x:c r="E17" s="26" t="str">
        <x:v>Explicit revocation semantics; TTL for future refresh; endpoint management guidance.</x:v>
      </x:c>
      <x:c r="F17" s="26" t="str">
        <x:v>R37</x:v>
      </x:c>
      <x:c r="G17" s="26" t="str">
        <x:v>MOB,ENC,IAM</x:v>
      </x:c>
      <x:c r="H17" s="26" t="str">
        <x:v>UI and policy disclose unavoidable previously exported/cached copies.</x:v>
      </x:c>
      <x:c r="I17" s="26" t="str">
        <x:v>Open</x:v>
      </x:c>
      <x:c r="J17" s="26" t="str"/>
    </x:row>
    <x:row r="18" ht="51" customHeight="1">
      <x:c r="A18" s="26" t="str">
        <x:v>K-14</x:v>
      </x:c>
      <x:c r="B18" s="26" t="str">
        <x:v>High</x:v>
      </x:c>
      <x:c r="C18" s="26" t="str">
        <x:v>Cross-subsidiary sharing leaks roles/metadata</x:v>
      </x:c>
      <x:c r="D18" s="26" t="str">
        <x:v>Group project accidentally exposes participant members or titles.</x:v>
      </x:c>
      <x:c r="E18" s="26" t="str">
        <x:v>Double consent, scoped keys, tenancy-aware notifications and audit.</x:v>
      </x:c>
      <x:c r="F18" s="26" t="str">
        <x:v>R21</x:v>
      </x:c>
      <x:c r="G18" s="26" t="str">
        <x:v>TEN,EXT,RPT</x:v>
      </x:c>
      <x:c r="H18" s="26" t="str">
        <x:v>Two buyers in a data room cannot discover each other.</x:v>
      </x:c>
      <x:c r="I18" s="26" t="str">
        <x:v>Open</x:v>
      </x:c>
      <x:c r="J18" s="26" t="str"/>
    </x:row>
    <x:row r="19" ht="51" customHeight="1">
      <x:c r="A19" s="26" t="str">
        <x:v>K-15</x:v>
      </x:c>
      <x:c r="B19" s="26" t="str">
        <x:v>High</x:v>
      </x:c>
      <x:c r="C19" s="26" t="str">
        <x:v>Search and autocomplete existence oracle</x:v>
      </x:c>
      <x:c r="D19" s="26" t="str">
        <x:v>Guessable title, timing or counters reveal secret documents.</x:v>
      </x:c>
      <x:c r="E19" s="26" t="str">
        <x:v>Metadata classification, authorization at index/query layer and response controls.</x:v>
      </x:c>
      <x:c r="F19" s="26" t="str">
        <x:v>R34</x:v>
      </x:c>
      <x:c r="G19" s="26" t="str">
        <x:v>MET,SEC</x:v>
      </x:c>
      <x:c r="H19" s="26" t="str">
        <x:v>Search enumeration suite finds no unauthorized hits or suggest tokens.</x:v>
      </x:c>
      <x:c r="I19" s="26" t="str">
        <x:v>Open</x:v>
      </x:c>
      <x:c r="J19" s="26" t="str"/>
    </x:row>
    <x:row r="20" ht="51" customHeight="1">
      <x:c r="A20" s="26" t="str">
        <x:v>K-16</x:v>
      </x:c>
      <x:c r="B20" s="26" t="str">
        <x:v>High</x:v>
      </x:c>
      <x:c r="C20" s="26" t="str">
        <x:v>AI reads unauthorized prior vectors</x:v>
      </x:c>
      <x:c r="D20" s="26" t="str">
        <x:v>Revoked file still available to RAG, cached responses or embeddings.</x:v>
      </x:c>
      <x:c r="E20" s="26" t="str">
        <x:v>Entitlement at retrieval and generation, index invalidation and purge policy.</x:v>
      </x:c>
      <x:c r="F20" s="26" t="str">
        <x:v>R35</x:v>
      </x:c>
      <x:c r="G20" s="26" t="str">
        <x:v>AIX,MET,IAM</x:v>
      </x:c>
      <x:c r="H20" s="26" t="str">
        <x:v>Revoked source is absent from retriever, citation and cached answer.</x:v>
      </x:c>
      <x:c r="I20" s="26" t="str">
        <x:v>Open</x:v>
      </x:c>
      <x:c r="J20" s="26" t="str"/>
    </x:row>
    <x:row r="21" ht="51" customHeight="1">
      <x:c r="A21" s="26" t="str">
        <x:v>K-17</x:v>
      </x:c>
      <x:c r="B21" s="26" t="str">
        <x:v>High</x:v>
      </x:c>
      <x:c r="C21" s="26" t="str">
        <x:v>Prompt injection triggers dangerous workflow</x:v>
      </x:c>
      <x:c r="D21" s="26" t="str">
        <x:v>Malicious document requests export or agent execution.</x:v>
      </x:c>
      <x:c r="E21" s="26" t="str">
        <x:v>No autonomous high-impact actions; tools permission-gated; human approval.</x:v>
      </x:c>
      <x:c r="F21" s="26" t="str">
        <x:v>R19</x:v>
      </x:c>
      <x:c r="G21" s="26" t="str">
        <x:v>AIX,WFL,API</x:v>
      </x:c>
      <x:c r="H21" s="26" t="str">
        <x:v>Prompt-injection tests cannot send data or elevate permissions.</x:v>
      </x:c>
      <x:c r="I21" s="26" t="str">
        <x:v>Open</x:v>
      </x:c>
      <x:c r="J21" s="26" t="str"/>
    </x:row>
    <x:row r="22" ht="51" customHeight="1">
      <x:c r="A22" s="26" t="str">
        <x:v>K-18</x:v>
      </x:c>
      <x:c r="B22" s="26" t="str">
        <x:v>High</x:v>
      </x:c>
      <x:c r="C22" s="26" t="str">
        <x:v>Group analytics identifies confidential activity</x:v>
      </x:c>
      <x:c r="D22" s="26" t="str">
        <x:v>Small group size or filenames permit cross-tenant inference.</x:v>
      </x:c>
      <x:c r="E22" s="26" t="str">
        <x:v>Role-scoped aggregates, aggregation thresholds, suppress sensitive dimensions.</x:v>
      </x:c>
      <x:c r="F22" s="26" t="str">
        <x:v>R14</x:v>
      </x:c>
      <x:c r="G22" s="26" t="str">
        <x:v>RPT,TEN</x:v>
      </x:c>
      <x:c r="H22" s="26" t="str">
        <x:v>Holding reporting reveals no individual classified document history.</x:v>
      </x:c>
      <x:c r="I22" s="26" t="str">
        <x:v>Open</x:v>
      </x:c>
      <x:c r="J22" s="26" t="str"/>
    </x:row>
    <x:row r="23" ht="51" customHeight="1">
      <x:c r="A23" s="26" t="str">
        <x:v>K-19</x:v>
      </x:c>
      <x:c r="B23" s="26" t="str">
        <x:v>High</x:v>
      </x:c>
      <x:c r="C23" s="26" t="str">
        <x:v>Incorrect legal jurisdiction assumption</x:v>
      </x:c>
      <x:c r="D23" s="26" t="str">
        <x:v>System assumes one controller or retention rule fits all entities.</x:v>
      </x:c>
      <x:c r="E23" s="26" t="str">
        <x:v>Company-by-country processing inventory; counsel reviewed policy profiles.</x:v>
      </x:c>
      <x:c r="F23" s="26" t="str">
        <x:v>R13</x:v>
      </x:c>
      <x:c r="G23" s="26" t="str">
        <x:v>PRV,REC,TEN</x:v>
      </x:c>
      <x:c r="H23" s="26" t="str">
        <x:v>Each tenant jurisdiction has signed legal policy mapping.</x:v>
      </x:c>
      <x:c r="I23" s="26" t="str">
        <x:v>Open</x:v>
      </x:c>
      <x:c r="J23" s="26" t="str"/>
    </x:row>
    <x:row r="24" ht="51" customHeight="1">
      <x:c r="A24" s="26" t="str">
        <x:v>K-20</x:v>
      </x:c>
      <x:c r="B24" s="26" t="str">
        <x:v>High</x:v>
      </x:c>
      <x:c r="C24" s="26" t="str">
        <x:v>Plugin/dependency supply-chain compromise</x:v>
      </x:c>
      <x:c r="D24" s="26" t="str">
        <x:v>Signed build or third-party plugin can tamper with bridge or client.</x:v>
      </x:c>
      <x:c r="E24" s="26" t="str">
        <x:v>SBOM, provenance, dependency pinning, verified updates and sandboxed bridge.</x:v>
      </x:c>
      <x:c r="F24" s="26" t="str">
        <x:v>R38</x:v>
      </x:c>
      <x:c r="G24" s="26" t="str">
        <x:v>SEC,API,OPS</x:v>
      </x:c>
      <x:c r="H24" s="26" t="str">
        <x:v>Release artifacts verified and vulnerable dependencies blocked.</x:v>
      </x:c>
      <x:c r="I24" s="26" t="str">
        <x:v>Open</x:v>
      </x:c>
      <x:c r="J24" s="26" t="str"/>
    </x:row>
    <x:row r="25" ht="51" customHeight="1">
      <x:c r="A25" s="26" t="str">
        <x:v>K-21</x:v>
      </x:c>
      <x:c r="B25" s="26" t="str">
        <x:v>High</x:v>
      </x:c>
      <x:c r="C25" s="26" t="str">
        <x:v>Stale access decision cache</x:v>
      </x:c>
      <x:c r="D25" s="26" t="str">
        <x:v>Revoked membership retains long-lived download link or task access.</x:v>
      </x:c>
      <x:c r="E25" s="26" t="str">
        <x:v>Short-lived audience-bound grants, event invalidation, recheck at use.</x:v>
      </x:c>
      <x:c r="F25" s="26" t="str">
        <x:v>R21</x:v>
      </x:c>
      <x:c r="G25" s="26" t="str">
        <x:v>IAM,API,EXT</x:v>
      </x:c>
      <x:c r="H25" s="26" t="str">
        <x:v>Rapid revoke during download/export job fails closed at defined points.</x:v>
      </x:c>
      <x:c r="I25" s="26" t="str">
        <x:v>Open</x:v>
      </x:c>
      <x:c r="J25" s="26" t="str"/>
    </x:row>
    <x:row r="26" ht="51" customHeight="1">
      <x:c r="A26" s="26" t="str">
        <x:v>K-22</x:v>
      </x:c>
      <x:c r="B26" s="26" t="str">
        <x:v>High</x:v>
      </x:c>
      <x:c r="C26" s="26" t="str">
        <x:v>Privileged support impersonation</x:v>
      </x:c>
      <x:c r="D26" s="26" t="str">
        <x:v>Support staff uses break-glass to open business documents silently.</x:v>
      </x:c>
      <x:c r="E26" s="26" t="str">
        <x:v>No-plaintext support diagnostics; dual approval and reason-scoped emergency grants.</x:v>
      </x:c>
      <x:c r="F26" s="26" t="str">
        <x:v>R27</x:v>
      </x:c>
      <x:c r="G26" s="26" t="str">
        <x:v>IAM,OPS,RPT</x:v>
      </x:c>
      <x:c r="H26" s="26" t="str">
        <x:v>Support session cannot see content without explicit reviewed access.</x:v>
      </x:c>
      <x:c r="I26" s="26" t="str">
        <x:v>Open</x:v>
      </x:c>
      <x:c r="J26" s="26" t="str"/>
    </x:row>
    <x:row r="27" ht="51" customHeight="1">
      <x:c r="A27" s="26" t="str">
        <x:v>K-23</x:v>
      </x:c>
      <x:c r="B27" s="26" t="str">
        <x:v>High</x:v>
      </x:c>
      <x:c r="C27" s="26" t="str">
        <x:v>Inaccurate multilingual permissions</x:v>
      </x:c>
      <x:c r="D27" s="26" t="str">
        <x:v>RTL labels reverse meaning or deny appears as allow.</x:v>
      </x:c>
      <x:c r="E27" s="26" t="str">
        <x:v>Native security-UI reviews, isolated tokens, locale-specific format tests.</x:v>
      </x:c>
      <x:c r="F27" s="26" t="str">
        <x:v>R17</x:v>
      </x:c>
      <x:c r="G27" s="26" t="str">
        <x:v>L10,UX,IAM</x:v>
      </x:c>
      <x:c r="H27" s="26" t="str">
        <x:v>13-language action/permission translations tested with native reviewers.</x:v>
      </x:c>
      <x:c r="I27" s="26" t="str">
        <x:v>Open</x:v>
      </x:c>
      <x:c r="J27" s="26" t="str"/>
    </x:row>
    <x:row r="28" ht="51" customHeight="1">
      <x:c r="A28" s="26" t="str">
        <x:v>K-24</x:v>
      </x:c>
      <x:c r="B28" s="26" t="str">
        <x:v>High</x:v>
      </x:c>
      <x:c r="C28" s="26" t="str">
        <x:v>Unverifiable digital signature claim</x:v>
      </x:c>
      <x:c r="D28" s="26" t="str">
        <x:v>Internal approval labeled qualified/legal e-sign.</x:v>
      </x:c>
      <x:c r="E28" s="26" t="str">
        <x:v>Separate approval attestations from vendor/legal e-signature integration.</x:v>
      </x:c>
      <x:c r="F28" s="26" t="str">
        <x:v>R13</x:v>
      </x:c>
      <x:c r="G28" s="26" t="str">
        <x:v>WFL,COL,REC</x:v>
      </x:c>
      <x:c r="H28" s="26" t="str">
        <x:v>UI and audit distinguish approval log from legally certified signature.</x:v>
      </x:c>
      <x:c r="I28" s="26" t="str">
        <x:v>Open</x:v>
      </x:c>
      <x:c r="J28" s="26" t="str"/>
    </x:row>
    <x:row r="29" ht="51" customHeight="1">
      <x:c r="A29" s="26" t="str">
        <x:v>K-25</x:v>
      </x:c>
      <x:c r="B29" s="26" t="str">
        <x:v>High</x:v>
      </x:c>
      <x:c r="C29" s="26" t="str">
        <x:v>E2EE prevents legal discovery</x:v>
      </x:c>
      <x:c r="D29" s="26" t="str">
        <x:v>Records cannot be produced under lawful order or required audit.</x:v>
      </x:c>
      <x:c r="E29" s="26" t="str">
        <x:v>Jurisdiction-approved trustee recovery or documented custodian-produced export.</x:v>
      </x:c>
      <x:c r="F29" s="26" t="str">
        <x:v>R13</x:v>
      </x:c>
      <x:c r="G29" s="26" t="str">
        <x:v>ENC,REC,PRV</x:v>
      </x:c>
      <x:c r="H29" s="26" t="str">
        <x:v>Legal discovery drill produces permitted records with chain of custody.</x:v>
      </x:c>
      <x:c r="I29" s="26" t="str">
        <x:v>Open</x:v>
      </x:c>
      <x:c r="J29" s="26" t="str"/>
    </x:row>
    <x:row r="30" ht="51" customHeight="1">
      <x:c r="A30" s="26" t="str">
        <x:v>K-26</x:v>
      </x:c>
      <x:c r="B30" s="26" t="str">
        <x:v>High</x:v>
      </x:c>
      <x:c r="C30" s="26" t="str">
        <x:v>Unauthorized tenant migration</x:v>
      </x:c>
      <x:c r="D30" s="26" t="str">
        <x:v>Subsidiary merge/export changes scope or key ownership without approval.</x:v>
      </x:c>
      <x:c r="E30" s="26" t="str">
        <x:v>Signed corporate transaction workflow, counsel hold checks, rollback.</x:v>
      </x:c>
      <x:c r="F30" s="26" t="str">
        <x:v>R02</x:v>
      </x:c>
      <x:c r="G30" s="26" t="str">
        <x:v>TEN,MIG,ENC</x:v>
      </x:c>
      <x:c r="H30" s="26" t="str">
        <x:v>Migration dry-run reconciles keys, content, holds and memberships.</x:v>
      </x:c>
      <x:c r="I30" s="26" t="str">
        <x:v>Open</x:v>
      </x:c>
      <x:c r="J30" s="26" t="str"/>
    </x:row>
    <x:row r="31" ht="51" customHeight="1">
      <x:c r="A31" s="26" t="str">
        <x:v>K-27</x:v>
      </x:c>
      <x:c r="B31" s="26" t="str">
        <x:v>High</x:v>
      </x:c>
      <x:c r="C31" s="26" t="str">
        <x:v>Third-party editor receives classified plaintext</x:v>
      </x:c>
      <x:c r="D31" s="26" t="str">
        <x:v>Office integration or preview vendor sees material unexpectedly.</x:v>
      </x:c>
      <x:c r="E31" s="26" t="str">
        <x:v>Mode compatibility matrix, vendor risk review, explicit scoped transfer.</x:v>
      </x:c>
      <x:c r="F31" s="26" t="str">
        <x:v>R09</x:v>
      </x:c>
      <x:c r="G31" s="26" t="str">
        <x:v>COL,API,DOC</x:v>
      </x:c>
      <x:c r="H31" s="26" t="str">
        <x:v>Zero-Knowledge files cannot open in unapproved cloud editor.</x:v>
      </x:c>
      <x:c r="I31" s="26" t="str">
        <x:v>Open</x:v>
      </x:c>
      <x:c r="J31" s="26" t="str"/>
    </x:row>
    <x:row r="32" ht="51" customHeight="1">
      <x:c r="A32" s="26" t="str">
        <x:v>K-28</x:v>
      </x:c>
      <x:c r="B32" s="26" t="str">
        <x:v>High</x:v>
      </x:c>
      <x:c r="C32" s="26" t="str">
        <x:v>Broken ownership for knowledge artifacts</x:v>
      </x:c>
      <x:c r="D32" s="26" t="str">
        <x:v>Policies go stale and employees attest wrong revision.</x:v>
      </x:c>
      <x:c r="E32" s="26" t="str">
        <x:v>Named steward, expiry/review, canonical version and attestation binding.</x:v>
      </x:c>
      <x:c r="F32" s="26" t="str">
        <x:v>R15</x:v>
      </x:c>
      <x:c r="G32" s="26" t="str">
        <x:v>KNO,COL,WFL</x:v>
      </x:c>
      <x:c r="H32" s="26" t="str">
        <x:v>Attestation tied to exact approved content hash and language.</x:v>
      </x:c>
      <x:c r="I32" s="26" t="str">
        <x:v>Open</x:v>
      </x:c>
      <x:c r="J32" s="26" t="str"/>
    </x:row>
    <x:row r="33" ht="51" customHeight="1">
      <x:c r="A33" s="26" t="str">
        <x:v>K-29</x:v>
      </x:c>
      <x:c r="B33" s="26" t="str">
        <x:v>High</x:v>
      </x:c>
      <x:c r="C33" s="26" t="str">
        <x:v>Migration brings wrong access</x:v>
      </x:c>
      <x:c r="D33" s="26" t="str">
        <x:v>Source ACL mapping creates inappropriate grants in new system.</x:v>
      </x:c>
      <x:c r="E33" s="26" t="str">
        <x:v>Dry-run, least-privilege mapping, dual validation and exception resolution.</x:v>
      </x:c>
      <x:c r="F33" s="26" t="str">
        <x:v>R42</x:v>
      </x:c>
      <x:c r="G33" s="26" t="str">
        <x:v>MIG,IAM,TEN</x:v>
      </x:c>
      <x:c r="H33" s="26" t="str">
        <x:v>All privileged mappings signed off and exceptions resolved.</x:v>
      </x:c>
      <x:c r="I33" s="26" t="str">
        <x:v>Open</x:v>
      </x:c>
      <x:c r="J33" s="26" t="str"/>
    </x:row>
    <x:row r="34" ht="51" customHeight="1">
      <x:c r="A34" s="26" t="str">
        <x:v>K-30</x:v>
      </x:c>
      <x:c r="B34" s="26" t="str">
        <x:v>High</x:v>
      </x:c>
      <x:c r="C34" s="26" t="str">
        <x:v>No reliable RTO/RPO / backups</x:v>
      </x:c>
      <x:c r="D34" s="26" t="str">
        <x:v>Data restored but keys, policy or critical event log missing.</x:v>
      </x:c>
      <x:c r="E34" s="26" t="str">
        <x:v>Full restore drills with crypto trustee participation; per-mode SLOs.</x:v>
      </x:c>
      <x:c r="F34" s="26" t="str">
        <x:v>R39</x:v>
      </x:c>
      <x:c r="G34" s="26" t="str">
        <x:v>OPS,ENC,RPT</x:v>
      </x:c>
      <x:c r="H34" s="26" t="str">
        <x:v>Recover data, versions, permissions, keys and audit consistently.</x:v>
      </x:c>
      <x:c r="I34" s="26" t="str">
        <x:v>Open</x:v>
      </x:c>
      <x:c r="J34" s="26" t="str"/>
    </x:row>
    <x:row r="35" ht="51" customHeight="1">
      <x:c r="A35" s="26" t="str">
        <x:v>K-31</x:v>
      </x:c>
      <x:c r="B35" s="26" t="str">
        <x:v>Medium</x:v>
      </x:c>
      <x:c r="C35" s="26" t="str">
        <x:v>Localization lacks regional definitions</x:v>
      </x:c>
      <x:c r="D35" s="26" t="str">
        <x:v>zh/pt/Arabic calendars and dates inconsistent.</x:v>
      </x:c>
      <x:c r="E35" s="26" t="str">
        <x:v>Define locale codes, calendars, plural rules and canonical UTC storage.</x:v>
      </x:c>
      <x:c r="F35" s="26" t="str">
        <x:v>R17</x:v>
      </x:c>
      <x:c r="G35" s="26" t="str">
        <x:v>L10,UX,MET</x:v>
      </x:c>
      <x:c r="H35" s="26" t="str">
        <x:v>Locale regression covers filenames, dates, search and notifications.</x:v>
      </x:c>
      <x:c r="I35" s="26" t="str">
        <x:v>Open</x:v>
      </x:c>
      <x:c r="J35" s="26" t="str"/>
    </x:row>
    <x:row r="36" ht="51" customHeight="1">
      <x:c r="A36" s="26" t="str">
        <x:v>K-32</x:v>
      </x:c>
      <x:c r="B36" s="26" t="str">
        <x:v>Medium</x:v>
      </x:c>
      <x:c r="C36" s="26" t="str">
        <x:v>Cost of broad features exceeds budget</x:v>
      </x:c>
      <x:c r="D36" s="26" t="str">
        <x:v>Coauthoring, OCR, vector search and 13-language review arrive prematurely.</x:v>
      </x:c>
      <x:c r="E36" s="26" t="str">
        <x:v>Dependency-driven release slices and FinOps metering.</x:v>
      </x:c>
      <x:c r="F36" s="26" t="str">
        <x:v>R03</x:v>
      </x:c>
      <x:c r="G36" s="26" t="str">
        <x:v>AIX,COL,OPS</x:v>
      </x:c>
      <x:c r="H36" s="26" t="str">
        <x:v>Phased roadmap has capacity and cost evidence before commitment.</x:v>
      </x:c>
      <x:c r="I36" s="26" t="str">
        <x:v>Open</x:v>
      </x:c>
      <x:c r="J36" s="26" t="str"/>
    </x:row>
    <x:row r="37" ht="51" customHeight="1">
      <x:c r="A37" s="26" t="str">
        <x:v>K-33</x:v>
      </x:c>
      <x:c r="B37" s="26" t="str">
        <x:v>High</x:v>
      </x:c>
      <x:c r="C37" s="26" t="str">
        <x:v>Insecure service account scopes</x:v>
      </x:c>
      <x:c r="D37" s="26" t="str">
        <x:v>Connector token accesses all tenants or overprivileged storage.</x:v>
      </x:c>
      <x:c r="E37" s="26" t="str">
        <x:v>Workload identities with tenant+action restrictions and rotation.</x:v>
      </x:c>
      <x:c r="F37" s="26" t="str">
        <x:v>R21</x:v>
      </x:c>
      <x:c r="G37" s="26" t="str">
        <x:v>IAM,API,OPS</x:v>
      </x:c>
      <x:c r="H37" s="26" t="str">
        <x:v>Stolen test connector credential cannot read unrelated tenants.</x:v>
      </x:c>
      <x:c r="I37" s="26" t="str">
        <x:v>Open</x:v>
      </x:c>
      <x:c r="J37" s="26" t="str"/>
    </x:row>
    <x:row r="38" ht="51" customHeight="1">
      <x:c r="A38" s="26" t="str">
        <x:v>K-34</x:v>
      </x:c>
      <x:c r="B38" s="26" t="str">
        <x:v>High</x:v>
      </x:c>
      <x:c r="C38" s="26" t="str">
        <x:v>Privacy requests conflict with immutable copies</x:v>
      </x:c>
      <x:c r="D38" s="26" t="str">
        <x:v>Delete request not reconciled with legal holds or backup retention.</x:v>
      </x:c>
      <x:c r="E38" s="26" t="str">
        <x:v>Document lawful exceptions, selective deletion and retention flow.</x:v>
      </x:c>
      <x:c r="F38" s="26" t="str">
        <x:v>R14</x:v>
      </x:c>
      <x:c r="G38" s="26" t="str">
        <x:v>PRV,REC,OPS</x:v>
      </x:c>
      <x:c r="H38" s="26" t="str">
        <x:v>DPO process outputs decision, evidence and actionable execution state.</x:v>
      </x:c>
      <x:c r="I38" s="26" t="str">
        <x:v>Open</x:v>
      </x:c>
      <x:c r="J38" s="26" t="str"/>
    </x:row>
    <x:row r="39" ht="51" customHeight="1">
      <x:c r="A39" s="26" t="str">
        <x:v>K-35</x:v>
      </x:c>
      <x:c r="B39" s="26" t="str">
        <x:v>High</x:v>
      </x:c>
      <x:c r="C39" s="26" t="str">
        <x:v>Inadequate independent assurance</x:v>
      </x:c>
      <x:c r="D39" s="26" t="str">
        <x:v>Development team certifies its own crypto/tenant isolation.</x:v>
      </x:c>
      <x:c r="E39" s="26" t="str">
        <x:v>Contract independent crypto and red-team assessments; close blockers.</x:v>
      </x:c>
      <x:c r="F39" s="26" t="str">
        <x:v>R25</x:v>
      </x:c>
      <x:c r="G39" s="26" t="str">
        <x:v>ENC,SEC,OPS</x:v>
      </x:c>
      <x:c r="H39" s="26" t="str">
        <x:v>Independent retest attests all release blockers closed.</x:v>
      </x:c>
      <x:c r="I39" s="26" t="str">
        <x:v>Open</x:v>
      </x:c>
      <x:c r="J39" s="26" t="str"/>
    </x:row>
  </x:sheetData>
  <x:mergeCells>
    <x:mergeCell ref="A1:J2"/>
    <x:mergeCell ref="A3:J3"/>
  </x:mergeCells>
  <x:dataValidations count="1">
    <x:dataValidation type="list" sqref="I5:I39">
      <x:formula1>"Open,Mitigating,Awaiting evidence,Closed,Accepted exception"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54" hidden="0" customWidth="1"/>
    <x:col min="3" max="3" width="78" hidden="0" customWidth="1"/>
    <x:col min="4" max="4" width="15" hidden="0" customWidth="1"/>
    <x:col min="5" max="5" width="26" hidden="0" customWidth="1"/>
    <x:col min="6" max="6" width="19" hidden="0" customWidth="1"/>
    <x:col min="7" max="7" width="28" hidden="0" customWidth="1"/>
    <x:col min="8" max="8" width="18" hidden="0" customWidth="1"/>
  </x:cols>
  <x:sheetData>
    <x:row r="1" ht="23" customHeight="1">
      <x:c r="A1" s="4" t="str">
        <x:v>ARCHITECTURE DECISIONS  |  KMS DELIVERY REVIEW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3" ht="29" customHeight="1">
      <x:c r="A3" s="11" t="str">
        <x:v>Decisions require alternatives, threat/permission impact, sponsor signoff, and immutable ADR before production work on affected modules.</x:v>
      </x:c>
      <x:c r="B3" s="11"/>
      <x:c r="C3" s="11"/>
      <x:c r="D3" s="11"/>
      <x:c r="E3" s="11"/>
      <x:c r="F3" s="11"/>
      <x:c r="G3" s="11"/>
      <x:c r="H3" s="11"/>
    </x:row>
    <x:row r="4" ht="28" customHeight="1">
      <x:c r="A4" s="19" t="str">
        <x:v>ADR ID</x:v>
      </x:c>
      <x:c r="B4" s="19" t="str">
        <x:v>Decision to freeze</x:v>
      </x:c>
      <x:c r="C4" s="19" t="str">
        <x:v>Recommended starting direction</x:v>
      </x:c>
      <x:c r="D4" s="19" t="str">
        <x:v>Accountable</x:v>
      </x:c>
      <x:c r="E4" s="19" t="str">
        <x:v>Module IDs</x:v>
      </x:c>
      <x:c r="F4" s="19" t="str">
        <x:v>Decision status</x:v>
      </x:c>
      <x:c r="G4" s="19" t="str">
        <x:v>Formal ADR link</x:v>
      </x:c>
      <x:c r="H4" s="19" t="str">
        <x:v>Approval date</x:v>
      </x:c>
    </x:row>
    <x:row r="5" ht="51" customHeight="1">
      <x:c r="A5" s="26" t="str">
        <x:v>D-01</x:v>
      </x:c>
      <x:c r="B5" s="26" t="str">
        <x:v>What does a full WordPress compromise mean in threat model?</x:v>
      </x:c>
      <x:c r="C5" s="26" t="str">
        <x:v>Assume arbitrary plugin/PHP execution and site administrator; vault remains a separate trust boundary.</x:v>
      </x:c>
      <x:c r="D5" s="26" t="str">
        <x:v>R19</x:v>
      </x:c>
      <x:c r="E5" s="26" t="str">
        <x:v>ENC,SEC,API</x:v>
      </x:c>
      <x:c r="F5" s="26" t="str">
        <x:v>Open</x:v>
      </x:c>
      <x:c r="G5" s="26" t="str"/>
      <x:c r="H5" s="26" t="str"/>
    </x:row>
    <x:row r="6" ht="51" customHeight="1">
      <x:c r="A6" s="26" t="str">
        <x:v>D-02</x:v>
      </x:c>
      <x:c r="B6" s="26" t="str">
        <x:v>How is Zero-Knowledge code delivered and authenticated?</x:v>
      </x:c>
      <x:c r="C6" s="26" t="str">
        <x:v>Separate audited/signed client and independent origin; direct client login; no trust in WP script.</x:v>
      </x:c>
      <x:c r="D6" s="26" t="str">
        <x:v>R20</x:v>
      </x:c>
      <x:c r="E6" s="26" t="str">
        <x:v>ENC,MOB,AUT</x:v>
      </x:c>
      <x:c r="F6" s="26" t="str">
        <x:v>Open</x:v>
      </x:c>
      <x:c r="G6" s="26" t="str"/>
      <x:c r="H6" s="26" t="str"/>
    </x:row>
    <x:row r="7" ht="51" customHeight="1">
      <x:c r="A7" s="26" t="str">
        <x:v>D-03</x:v>
      </x:c>
      <x:c r="B7" s="26" t="str">
        <x:v>Which documents require Zero-Knowledge Mode?</x:v>
      </x:c>
      <x:c r="C7" s="26" t="str">
        <x:v>Default managed mode only when justified; mandate E2EE by classification / subsidiaries.</x:v>
      </x:c>
      <x:c r="D7" s="26" t="str">
        <x:v>R02</x:v>
      </x:c>
      <x:c r="E7" s="26" t="str">
        <x:v>ENC,SEC,PRV</x:v>
      </x:c>
      <x:c r="F7" s="26" t="str">
        <x:v>Open</x:v>
      </x:c>
      <x:c r="G7" s="26" t="str"/>
      <x:c r="H7" s="26" t="str"/>
    </x:row>
    <x:row r="8" ht="51" customHeight="1">
      <x:c r="A8" s="26" t="str">
        <x:v>D-04</x:v>
      </x:c>
      <x:c r="B8" s="26" t="str">
        <x:v>Is enterprise recovery permitted?</x:v>
      </x:c>
      <x:c r="C8" s="26" t="str">
        <x:v>Offer distinct no-recovery and trustee-quorum profiles; truthful assurance claim.</x:v>
      </x:c>
      <x:c r="D8" s="26" t="str">
        <x:v>R26</x:v>
      </x:c>
      <x:c r="E8" s="26" t="str">
        <x:v>ENC,REC,OPS</x:v>
      </x:c>
      <x:c r="F8" s="26" t="str">
        <x:v>Open</x:v>
      </x:c>
      <x:c r="G8" s="26" t="str"/>
      <x:c r="H8" s="26" t="str"/>
    </x:row>
    <x:row r="9" ht="51" customHeight="1">
      <x:c r="A9" s="26" t="str">
        <x:v>D-05</x:v>
      </x:c>
      <x:c r="B9" s="26" t="str">
        <x:v>Who is accountable for subsidiary data?</x:v>
      </x:c>
      <x:c r="C9" s="26" t="str">
        <x:v>Record controller/processor + custodian per legal entity; holding has policy but no implicit decryption.</x:v>
      </x:c>
      <x:c r="D9" s="26" t="str">
        <x:v>R14</x:v>
      </x:c>
      <x:c r="E9" s="26" t="str">
        <x:v>TEN,PRV,IAM</x:v>
      </x:c>
      <x:c r="F9" s="26" t="str">
        <x:v>Open</x:v>
      </x:c>
      <x:c r="G9" s="26" t="str"/>
      <x:c r="H9" s="26" t="str"/>
    </x:row>
    <x:row r="10" ht="51" customHeight="1">
      <x:c r="A10" s="26" t="str">
        <x:v>D-06</x:v>
      </x:c>
      <x:c r="B10" s="26" t="str">
        <x:v>What is the exact permission evaluation order?</x:v>
      </x:c>
      <x:c r="C10" s="26" t="str">
        <x:v>Global immutable safety policy -&gt; tenant boundary -&gt; classification/legal hold -&gt; RBAC/ABAC/ACL -&gt; contextual restrictions; explicit deny wins.</x:v>
      </x:c>
      <x:c r="D10" s="26" t="str">
        <x:v>R21</x:v>
      </x:c>
      <x:c r="E10" s="26" t="str">
        <x:v>IAM,TEN,REC</x:v>
      </x:c>
      <x:c r="F10" s="26" t="str">
        <x:v>Open</x:v>
      </x:c>
      <x:c r="G10" s="26" t="str"/>
      <x:c r="H10" s="26" t="str"/>
    </x:row>
    <x:row r="11" ht="51" customHeight="1">
      <x:c r="A11" s="26" t="str">
        <x:v>D-07</x:v>
      </x:c>
      <x:c r="B11" s="26" t="str">
        <x:v>Which operations are eligible for break-glass?</x:v>
      </x:c>
      <x:c r="C11" s="26" t="str">
        <x:v>Restrict to control-plane admin; no silent document/key recovery; dual authorization.</x:v>
      </x:c>
      <x:c r="D11" s="26" t="str">
        <x:v>R27</x:v>
      </x:c>
      <x:c r="E11" s="26" t="str">
        <x:v>IAM,AUT,ENC</x:v>
      </x:c>
      <x:c r="F11" s="26" t="str">
        <x:v>Open</x:v>
      </x:c>
      <x:c r="G11" s="26" t="str"/>
      <x:c r="H11" s="26" t="str"/>
    </x:row>
    <x:row r="12" ht="51" customHeight="1">
      <x:c r="A12" s="26" t="str">
        <x:v>D-08</x:v>
      </x:c>
      <x:c r="B12" s="26" t="str">
        <x:v>Which metadata remains visible to servers?</x:v>
      </x:c>
      <x:c r="C12" s="26" t="str">
        <x:v>Minimize: tenant, object token, ciphertext size/time where unavoidable; encrypt titles/comments/classification-specific fields.</x:v>
      </x:c>
      <x:c r="D12" s="26" t="str">
        <x:v>R20</x:v>
      </x:c>
      <x:c r="E12" s="26" t="str">
        <x:v>MET,DOC,ENC</x:v>
      </x:c>
      <x:c r="F12" s="26" t="str">
        <x:v>Open</x:v>
      </x:c>
      <x:c r="G12" s="26" t="str"/>
      <x:c r="H12" s="26" t="str"/>
    </x:row>
    <x:row r="13" ht="51" customHeight="1">
      <x:c r="A13" s="26" t="str">
        <x:v>D-09</x:v>
      </x:c>
      <x:c r="B13" s="26" t="str">
        <x:v>How can confidential content be searched?</x:v>
      </x:c>
      <x:c r="C13" s="26" t="str">
        <x:v>Managed: secured index; Zero-Knowledge: trusted-client index with explicitly bounded metadata leakage.</x:v>
      </x:c>
      <x:c r="D13" s="26" t="str">
        <x:v>R34</x:v>
      </x:c>
      <x:c r="E13" s="26" t="str">
        <x:v>MET,ENC,AIX</x:v>
      </x:c>
      <x:c r="F13" s="26" t="str">
        <x:v>Open</x:v>
      </x:c>
      <x:c r="G13" s="26" t="str"/>
      <x:c r="H13" s="26" t="str"/>
    </x:row>
    <x:row r="14" ht="51" customHeight="1">
      <x:c r="A14" s="26" t="str">
        <x:v>D-10</x:v>
      </x:c>
      <x:c r="B14" s="26" t="str">
        <x:v>What is E2EE malware assurance?</x:v>
      </x:c>
      <x:c r="C14" s="26" t="str">
        <x:v>Never assert full server scanning; local scanning + recipient/device policy + quarantine risk disclosure.</x:v>
      </x:c>
      <x:c r="D14" s="26" t="str">
        <x:v>R19</x:v>
      </x:c>
      <x:c r="E14" s="26" t="str">
        <x:v>SEC,DOC,ENC</x:v>
      </x:c>
      <x:c r="F14" s="26" t="str">
        <x:v>Open</x:v>
      </x:c>
      <x:c r="G14" s="26" t="str"/>
      <x:c r="H14" s="26" t="str"/>
    </x:row>
    <x:row r="15" ht="51" customHeight="1">
      <x:c r="A15" s="26" t="str">
        <x:v>D-11</x:v>
      </x:c>
      <x:c r="B15" s="26" t="str">
        <x:v>What is the approach to external E2EE sharing?</x:v>
      </x:c>
      <x:c r="C15" s="26" t="str">
        <x:v>Verified recipient keys; origin approval; purpose, term and immutable share evidence.</x:v>
      </x:c>
      <x:c r="D15" s="26" t="str">
        <x:v>R20</x:v>
      </x:c>
      <x:c r="E15" s="26" t="str">
        <x:v>EXT,ENC,IAM</x:v>
      </x:c>
      <x:c r="F15" s="26" t="str">
        <x:v>Open</x:v>
      </x:c>
      <x:c r="G15" s="26" t="str"/>
      <x:c r="H15" s="26" t="str"/>
    </x:row>
    <x:row r="16" ht="51" customHeight="1">
      <x:c r="A16" s="26" t="str">
        <x:v>D-12</x:v>
      </x:c>
      <x:c r="B16" s="26" t="str">
        <x:v>Who can authorize a document for legal discovery?</x:v>
      </x:c>
      <x:c r="C16" s="26" t="str">
        <x:v>Use counsel-directed custodian export or audited trustee protocol governed by jurisdiction.</x:v>
      </x:c>
      <x:c r="D16" s="26" t="str">
        <x:v>R13</x:v>
      </x:c>
      <x:c r="E16" s="26" t="str">
        <x:v>REC,ENC,PRV</x:v>
      </x:c>
      <x:c r="F16" s="26" t="str">
        <x:v>Open</x:v>
      </x:c>
      <x:c r="G16" s="26" t="str"/>
      <x:c r="H16" s="26" t="str"/>
    </x:row>
    <x:row r="17" ht="51" customHeight="1">
      <x:c r="A17" s="26" t="str">
        <x:v>D-13</x:v>
      </x:c>
      <x:c r="B17" s="26" t="str">
        <x:v>When does retention outrank deletion?</x:v>
      </x:c>
      <x:c r="C17" s="26" t="str">
        <x:v>Counsel-approved precedence; legal hold blocks disposition and key destruction.</x:v>
      </x:c>
      <x:c r="D17" s="26" t="str">
        <x:v>R12</x:v>
      </x:c>
      <x:c r="E17" s="26" t="str">
        <x:v>REC,PRV,OPS</x:v>
      </x:c>
      <x:c r="F17" s="26" t="str">
        <x:v>Open</x:v>
      </x:c>
      <x:c r="G17" s="26" t="str"/>
      <x:c r="H17" s="26" t="str"/>
    </x:row>
    <x:row r="18" ht="51" customHeight="1">
      <x:c r="A18" s="26" t="str">
        <x:v>D-14</x:v>
      </x:c>
      <x:c r="B18" s="26" t="str">
        <x:v>What are the 13 exact locale codes and variants?</x:v>
      </x:c>
      <x:c r="C18" s="26" t="str">
        <x:v>Agree mapping: English, Persian, French, Turkish, Russian, zh-Hans, German, Portuguese variant, Spanish, Hindi, Japanese, Arabic, Armenian; regional options.</x:v>
      </x:c>
      <x:c r="D18" s="26" t="str">
        <x:v>R17</x:v>
      </x:c>
      <x:c r="E18" s="26" t="str">
        <x:v>L10,MET,UX</x:v>
      </x:c>
      <x:c r="F18" s="26" t="str">
        <x:v>Open</x:v>
      </x:c>
      <x:c r="G18" s="26" t="str"/>
      <x:c r="H18" s="26" t="str"/>
    </x:row>
    <x:row r="19" ht="51" customHeight="1">
      <x:c r="A19" s="26" t="str">
        <x:v>D-15</x:v>
      </x:c>
      <x:c r="B19" s="26" t="str">
        <x:v>What is the definition of digital signing?</x:v>
      </x:c>
      <x:c r="C19" s="26" t="str">
        <x:v>Separate internal approvals from applicable qualified digital signature vendors/requirements.</x:v>
      </x:c>
      <x:c r="D19" s="26" t="str">
        <x:v>R13</x:v>
      </x:c>
      <x:c r="E19" s="26" t="str">
        <x:v>WFL,COL,REC</x:v>
      </x:c>
      <x:c r="F19" s="26" t="str">
        <x:v>Open</x:v>
      </x:c>
      <x:c r="G19" s="26" t="str"/>
      <x:c r="H19" s="26" t="str"/>
    </x:row>
    <x:row r="20" ht="51" customHeight="1">
      <x:c r="A20" s="26" t="str">
        <x:v>D-16</x:v>
      </x:c>
      <x:c r="B20" s="26" t="str">
        <x:v>How do group-wide dashboards preserve confidentiality?</x:v>
      </x:c>
      <x:c r="C20" s="26" t="str">
        <x:v>Group sees posture aggregates; document audit requires legally/policy authorized scoped access.</x:v>
      </x:c>
      <x:c r="D20" s="26" t="str">
        <x:v>R27</x:v>
      </x:c>
      <x:c r="E20" s="26" t="str">
        <x:v>RPT,TEN,PRV</x:v>
      </x:c>
      <x:c r="F20" s="26" t="str">
        <x:v>Open</x:v>
      </x:c>
      <x:c r="G20" s="26" t="str"/>
      <x:c r="H20" s="26" t="str"/>
    </x:row>
    <x:row r="21" ht="51" customHeight="1">
      <x:c r="A21" s="26" t="str">
        <x:v>D-17</x:v>
      </x:c>
      <x:c r="B21" s="26" t="str">
        <x:v>What are target SLO, RTO, RPO and tenant scale?</x:v>
      </x:c>
      <x:c r="C21" s="26" t="str">
        <x:v>Benchmark agreed file mix, users, tenant data volumes and geography; publish per-mode targets.</x:v>
      </x:c>
      <x:c r="D21" s="26" t="str">
        <x:v>R39</x:v>
      </x:c>
      <x:c r="E21" s="26" t="str">
        <x:v>OPS,DOC,MET</x:v>
      </x:c>
      <x:c r="F21" s="26" t="str">
        <x:v>Open</x:v>
      </x:c>
      <x:c r="G21" s="26" t="str"/>
      <x:c r="H21" s="26" t="str"/>
    </x:row>
    <x:row r="22" ht="51" customHeight="1">
      <x:c r="A22" s="26" t="str">
        <x:v>D-18</x:v>
      </x:c>
      <x:c r="B22" s="26" t="str">
        <x:v>Which connectors/cloud editor providers are allowed?</x:v>
      </x:c>
      <x:c r="C22" s="26" t="str">
        <x:v>Approved vendor matrix; prohibit unmanaged external document decryption; scope tokens by tenant.</x:v>
      </x:c>
      <x:c r="D22" s="26" t="str">
        <x:v>R09</x:v>
      </x:c>
      <x:c r="E22" s="26" t="str">
        <x:v>API,COL,DOC</x:v>
      </x:c>
      <x:c r="F22" s="26" t="str">
        <x:v>Open</x:v>
      </x:c>
      <x:c r="G22" s="26" t="str"/>
      <x:c r="H22" s="26" t="str"/>
    </x:row>
    <x:row r="23" ht="51" customHeight="1">
      <x:c r="A23" s="26" t="str">
        <x:v>D-19</x:v>
      </x:c>
      <x:c r="B23" s="26" t="str">
        <x:v>What is the company merger/split procedure?</x:v>
      </x:c>
      <x:c r="C23" s="26" t="str">
        <x:v>Approvals from origin/recipient tenant custodians, counsel, security, key trustees as necessary.</x:v>
      </x:c>
      <x:c r="D23" s="26" t="str">
        <x:v>R02</x:v>
      </x:c>
      <x:c r="E23" s="26" t="str">
        <x:v>TEN,MIG,ENC</x:v>
      </x:c>
      <x:c r="F23" s="26" t="str">
        <x:v>Open</x:v>
      </x:c>
      <x:c r="G23" s="26" t="str"/>
      <x:c r="H23" s="26" t="str"/>
    </x:row>
    <x:row r="24" ht="51" customHeight="1">
      <x:c r="A24" s="26" t="str">
        <x:v>D-20</x:v>
      </x:c>
      <x:c r="B24" s="26" t="str">
        <x:v>When are AI functions permissible?</x:v>
      </x:c>
      <x:c r="C24" s="26" t="str">
        <x:v>Opt-in by tenant/classification; managed-only or trusted client local; no training with company data by default.</x:v>
      </x:c>
      <x:c r="D24" s="26" t="str">
        <x:v>R14</x:v>
      </x:c>
      <x:c r="E24" s="26" t="str">
        <x:v>AIX,SEC,ENC</x:v>
      </x:c>
      <x:c r="F24" s="26" t="str">
        <x:v>Open</x:v>
      </x:c>
      <x:c r="G24" s="26" t="str"/>
      <x:c r="H24" s="26" t="str"/>
    </x:row>
    <x:row r="25" ht="51" customHeight="1">
      <x:c r="A25" s="26" t="str">
        <x:v>D-21</x:v>
      </x:c>
      <x:c r="B25" s="26" t="str">
        <x:v>What is the licensed deployment model?</x:v>
      </x:c>
      <x:c r="C25" s="26" t="str">
        <x:v>Private managed service, self-hosted, hybrid; define update chain, residency and customer responsibilities.</x:v>
      </x:c>
      <x:c r="D25" s="26" t="str">
        <x:v>R03</x:v>
      </x:c>
      <x:c r="E25" s="26" t="str">
        <x:v>OPS,API,PRV</x:v>
      </x:c>
      <x:c r="F25" s="26" t="str">
        <x:v>Open</x:v>
      </x:c>
      <x:c r="G25" s="26" t="str"/>
      <x:c r="H25" s="26" t="str"/>
    </x:row>
    <x:row r="26" ht="51" customHeight="1">
      <x:c r="A26" s="26" t="str">
        <x:v>D-22</x:v>
      </x:c>
      <x:c r="B26" s="26" t="str">
        <x:v>Who makes final production go/no-go decision?</x:v>
      </x:c>
      <x:c r="C26" s="26" t="str">
        <x:v>Sponsor + PO after independent security, legal/privacy, records and DR gate sign-offs.</x:v>
      </x:c>
      <x:c r="D26" s="26" t="str">
        <x:v>R01</x:v>
      </x:c>
      <x:c r="E26" s="26" t="str">
        <x:v>OPS,SEC,PRV</x:v>
      </x:c>
      <x:c r="F26" s="26" t="str">
        <x:v>Open</x:v>
      </x:c>
      <x:c r="G26" s="26" t="str"/>
      <x:c r="H26" s="26" t="str"/>
    </x:row>
  </x:sheetData>
  <x:mergeCells>
    <x:mergeCell ref="A1:H2"/>
    <x:mergeCell ref="A3:H3"/>
  </x:mergeCells>
  <x:dataValidations count="1">
    <x:dataValidation type="list" sqref="F5:F26">
      <x:formula1>"Open,Reviewing alternatives,Proposed,Approved,Revisit"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25" hidden="0" customWidth="1"/>
    <x:col min="3" max="3" width="55" hidden="0" customWidth="1"/>
    <x:col min="4" max="4" width="61" hidden="0" customWidth="1"/>
    <x:col min="5" max="5" width="54" hidden="0" customWidth="1"/>
    <x:col min="6" max="6" width="38" hidden="0" customWidth="1"/>
    <x:col min="7" max="7" width="18" hidden="0" customWidth="1"/>
  </x:cols>
  <x:sheetData>
    <x:row r="1" ht="23" customHeight="1">
      <x:c r="A1" s="4" t="str">
        <x:v>OPERATIONAL ROLES  |  KMS DELIVERY REVIEW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29" customHeight="1">
      <x:c r="A3" s="11" t="str">
        <x:v>System-level personas with scope, expressly prohibited access, and segregation of duties. Do not directly equate them to WordPress administrator/editor roles.</x:v>
      </x:c>
      <x:c r="B3" s="11"/>
      <x:c r="C3" s="11"/>
      <x:c r="D3" s="11"/>
      <x:c r="E3" s="11"/>
      <x:c r="F3" s="11"/>
      <x:c r="G3" s="11"/>
    </x:row>
    <x:row r="4" ht="28" customHeight="1">
      <x:c r="A4" s="19" t="str">
        <x:v>Role template</x:v>
      </x:c>
      <x:c r="B4" s="19" t="str">
        <x:v>Authorization scope</x:v>
      </x:c>
      <x:c r="C4" s="19" t="str">
        <x:v>Powers</x:v>
      </x:c>
      <x:c r="D4" s="19" t="str">
        <x:v>Must not grant by default</x:v>
      </x:c>
      <x:c r="E4" s="19" t="str">
        <x:v>Conflict-of-duties control</x:v>
      </x:c>
      <x:c r="F4" s="19" t="str">
        <x:v>Bounded scope</x:v>
      </x:c>
      <x:c r="G4" s="19" t="str">
        <x:v>Role readiness</x:v>
      </x:c>
    </x:row>
    <x:row r="5" ht="51" customHeight="1">
      <x:c r="A5" s="26" t="str">
        <x:v>Holding governance administrator</x:v>
      </x:c>
      <x:c r="B5" s="26" t="str">
        <x:v>Group control plane</x:v>
      </x:c>
      <x:c r="C5" s="26" t="str">
        <x:v>Provision/suspend entities; set minimum policies.</x:v>
      </x:c>
      <x:c r="D5" s="26" t="str">
        <x:v>No default subsidiary-content read or decryption.</x:v>
      </x:c>
      <x:c r="E5" s="26" t="str">
        <x:v>Tenant owner + separate board approval for major changes</x:v>
      </x:c>
      <x:c r="F5" s="26" t="str">
        <x:v>Yes, unless expressly group/platform scope</x:v>
      </x:c>
      <x:c r="G5" s="26" t="str">
        <x:v>Proposed</x:v>
      </x:c>
    </x:row>
    <x:row r="6" ht="51" customHeight="1">
      <x:c r="A6" s="26" t="str">
        <x:v>Holding policy administrator</x:v>
      </x:c>
      <x:c r="B6" s="26" t="str">
        <x:v>Group control plane</x:v>
      </x:c>
      <x:c r="C6" s="26" t="str">
        <x:v>Manage mandatory security/retention configuration baselines.</x:v>
      </x:c>
      <x:c r="D6" s="26" t="str">
        <x:v>Cannot grant own document access; policy cannot defeat holds.</x:v>
      </x:c>
      <x:c r="E6" s="26" t="str">
        <x:v>Risk/records approval for exceptions</x:v>
      </x:c>
      <x:c r="F6" s="26" t="str">
        <x:v>Yes, unless expressly group/platform scope</x:v>
      </x:c>
      <x:c r="G6" s="26" t="str">
        <x:v>Proposed</x:v>
      </x:c>
    </x:row>
    <x:row r="7" ht="51" customHeight="1">
      <x:c r="A7" s="26" t="str">
        <x:v>Holding security oversight</x:v>
      </x:c>
      <x:c r="B7" s="26" t="str">
        <x:v>Group security</x:v>
      </x:c>
      <x:c r="C7" s="26" t="str">
        <x:v>View posture, incidents and scoped security events.</x:v>
      </x:c>
      <x:c r="D7" s="26" t="str">
        <x:v>No automatic content; sensitive tenant audit fields redacted.</x:v>
      </x:c>
      <x:c r="E7" s="26" t="str">
        <x:v>Separate from holder of recovery keys</x:v>
      </x:c>
      <x:c r="F7" s="26" t="str">
        <x:v>Yes, unless expressly group/platform scope</x:v>
      </x:c>
      <x:c r="G7" s="26" t="str">
        <x:v>Proposed</x:v>
      </x:c>
    </x:row>
    <x:row r="8" ht="51" customHeight="1">
      <x:c r="A8" s="26" t="str">
        <x:v>Group internal auditor</x:v>
      </x:c>
      <x:c r="B8" s="26" t="str">
        <x:v>Group audit</x:v>
      </x:c>
      <x:c r="C8" s="26" t="str">
        <x:v>Review approved controls/evidence and aggregates.</x:v>
      </x:c>
      <x:c r="D8" s="26" t="str">
        <x:v>No default business document access.</x:v>
      </x:c>
      <x:c r="E8" s="26" t="str">
        <x:v>Independence from admins and approvers</x:v>
      </x:c>
      <x:c r="F8" s="26" t="str">
        <x:v>Yes, unless expressly group/platform scope</x:v>
      </x:c>
      <x:c r="G8" s="26" t="str">
        <x:v>Proposed</x:v>
      </x:c>
    </x:row>
    <x:row r="9" ht="51" customHeight="1">
      <x:c r="A9" s="26" t="str">
        <x:v>Platform operator / SRE</x:v>
      </x:c>
      <x:c r="B9" s="26" t="str">
        <x:v>Infrastructure only</x:v>
      </x:c>
      <x:c r="C9" s="26" t="str">
        <x:v>Deploy, monitor, scale and restore infrastructure.</x:v>
      </x:c>
      <x:c r="D9" s="26" t="str">
        <x:v>No routine decrypted document content or user impersonation.</x:v>
      </x:c>
      <x:c r="E9" s="26" t="str">
        <x:v>Dual control on critical production changes</x:v>
      </x:c>
      <x:c r="F9" s="26" t="str">
        <x:v>Yes, unless expressly group/platform scope</x:v>
      </x:c>
      <x:c r="G9" s="26" t="str">
        <x:v>Proposed</x:v>
      </x:c>
    </x:row>
    <x:row r="10" ht="51" customHeight="1">
      <x:c r="A10" s="26" t="str">
        <x:v>Subsidiary owner</x:v>
      </x:c>
      <x:c r="B10" s="26" t="str">
        <x:v>One subsidiary</x:v>
      </x:c>
      <x:c r="C10" s="26" t="str">
        <x:v>Approve local governance/tenant closure and custodians.</x:v>
      </x:c>
      <x:c r="D10" s="26" t="str">
        <x:v>Cannot weaken global minimum controls.</x:v>
      </x:c>
      <x:c r="E10" s="26" t="str">
        <x:v>Cannot self-approve exceptional disclosure</x:v>
      </x:c>
      <x:c r="F10" s="26" t="str">
        <x:v>Yes, unless expressly group/platform scope</x:v>
      </x:c>
      <x:c r="G10" s="26" t="str">
        <x:v>Proposed</x:v>
      </x:c>
    </x:row>
    <x:row r="11" ht="51" customHeight="1">
      <x:c r="A11" s="26" t="str">
        <x:v>Subsidiary administrator</x:v>
      </x:c>
      <x:c r="B11" s="26" t="str">
        <x:v>One subsidiary</x:v>
      </x:c>
      <x:c r="C11" s="26" t="str">
        <x:v>Invite users, create groups and configure libraries.</x:v>
      </x:c>
      <x:c r="D11" s="26" t="str">
        <x:v>No universal decrypt right; no cross-tenant reach.</x:v>
      </x:c>
      <x:c r="E11" s="26" t="str">
        <x:v>Role-grant approvals for high privileges</x:v>
      </x:c>
      <x:c r="F11" s="26" t="str">
        <x:v>Yes, unless expressly group/platform scope</x:v>
      </x:c>
      <x:c r="G11" s="26" t="str">
        <x:v>Proposed</x:v>
      </x:c>
    </x:row>
    <x:row r="12" ht="51" customHeight="1">
      <x:c r="A12" s="26" t="str">
        <x:v>User and group administrator</x:v>
      </x:c>
      <x:c r="B12" s="26" t="str">
        <x:v>One subsidiary</x:v>
      </x:c>
      <x:c r="C12" s="26" t="str">
        <x:v>Manage memberships, employment-state updates.</x:v>
      </x:c>
      <x:c r="D12" s="26" t="str">
        <x:v>No content read via membership management alone.</x:v>
      </x:c>
      <x:c r="E12" s="26" t="str">
        <x:v>No self-privilege escalation</x:v>
      </x:c>
      <x:c r="F12" s="26" t="str">
        <x:v>Yes, unless expressly group/platform scope</x:v>
      </x:c>
      <x:c r="G12" s="26" t="str">
        <x:v>Proposed</x:v>
      </x:c>
    </x:row>
    <x:row r="13" ht="51" customHeight="1">
      <x:c r="A13" s="26" t="str">
        <x:v>Role / access policy manager</x:v>
      </x:c>
      <x:c r="B13" s="26" t="str">
        <x:v>One subsidiary</x:v>
      </x:c>
      <x:c r="C13" s="26" t="str">
        <x:v>Create custom roles and ACL templates.</x:v>
      </x:c>
      <x:c r="D13" s="26" t="str">
        <x:v>Cannot override legal holds and group hard-denies.</x:v>
      </x:c>
      <x:c r="E13" s="26" t="str">
        <x:v>Another approver for high-risk policy changes</x:v>
      </x:c>
      <x:c r="F13" s="26" t="str">
        <x:v>Yes, unless expressly group/platform scope</x:v>
      </x:c>
      <x:c r="G13" s="26" t="str">
        <x:v>Proposed</x:v>
      </x:c>
    </x:row>
    <x:row r="14" ht="51" customHeight="1">
      <x:c r="A14" s="26" t="str">
        <x:v>Department manager</x:v>
      </x:c>
      <x:c r="B14" s="26" t="str">
        <x:v>Own department</x:v>
      </x:c>
      <x:c r="C14" s="26" t="str">
        <x:v>Manage own teams and delegated workspaces.</x:v>
      </x:c>
      <x:c r="D14" s="26" t="str">
        <x:v>Delegation limited to preset domain and role subset.</x:v>
      </x:c>
      <x:c r="E14" s="26" t="str">
        <x:v>No grant beyond own authority</x:v>
      </x:c>
      <x:c r="F14" s="26" t="str">
        <x:v>Yes, unless expressly group/platform scope</x:v>
      </x:c>
      <x:c r="G14" s="26" t="str">
        <x:v>Proposed</x:v>
      </x:c>
    </x:row>
    <x:row r="15" ht="51" customHeight="1">
      <x:c r="A15" s="26" t="str">
        <x:v>Records manager</x:v>
      </x:c>
      <x:c r="B15" s="26" t="str">
        <x:v>One subsidiary / record set</x:v>
      </x:c>
      <x:c r="C15" s="26" t="str">
        <x:v>Control classification, retention and disposition.</x:v>
      </x:c>
      <x:c r="D15" s="26" t="str">
        <x:v>Cannot unilaterally lift legal hold.</x:v>
      </x:c>
      <x:c r="E15" s="26" t="str">
        <x:v>Disposition reviewer separate from executor</x:v>
      </x:c>
      <x:c r="F15" s="26" t="str">
        <x:v>Yes, unless expressly group/platform scope</x:v>
      </x:c>
      <x:c r="G15" s="26" t="str">
        <x:v>Proposed</x:v>
      </x:c>
    </x:row>
    <x:row r="16" ht="51" customHeight="1">
      <x:c r="A16" s="26" t="str">
        <x:v>Legal-hold officer</x:v>
      </x:c>
      <x:c r="B16" s="26" t="str">
        <x:v>Approved matters</x:v>
      </x:c>
      <x:c r="C16" s="26" t="str">
        <x:v>Place/lift holds under legal process.</x:v>
      </x:c>
      <x:c r="D16" s="26" t="str">
        <x:v>No content access unless separately authorized.</x:v>
      </x:c>
      <x:c r="E16" s="26" t="str">
        <x:v>Counsel approval and dual-review on releases</x:v>
      </x:c>
      <x:c r="F16" s="26" t="str">
        <x:v>Yes, unless expressly group/platform scope</x:v>
      </x:c>
      <x:c r="G16" s="26" t="str">
        <x:v>Proposed</x:v>
      </x:c>
    </x:row>
    <x:row r="17" ht="51" customHeight="1">
      <x:c r="A17" s="26" t="str">
        <x:v>Privacy officer</x:v>
      </x:c>
      <x:c r="B17" s="26" t="str">
        <x:v>Legal entity / approved scope</x:v>
      </x:c>
      <x:c r="C17" s="26" t="str">
        <x:v>Process privacy requests, DPIAs and data mappings.</x:v>
      </x:c>
      <x:c r="D17" s="26" t="str">
        <x:v>No blanket document access for privacy role.</x:v>
      </x:c>
      <x:c r="E17" s="26" t="str">
        <x:v>Lawful hold/exemption review</x:v>
      </x:c>
      <x:c r="F17" s="26" t="str">
        <x:v>Yes, unless expressly group/platform scope</x:v>
      </x:c>
      <x:c r="G17" s="26" t="str">
        <x:v>Proposed</x:v>
      </x:c>
    </x:row>
    <x:row r="18" ht="51" customHeight="1">
      <x:c r="A18" s="26" t="str">
        <x:v>Subsidiary security officer</x:v>
      </x:c>
      <x:c r="B18" s="26" t="str">
        <x:v>One subsidiary</x:v>
      </x:c>
      <x:c r="C18" s="26" t="str">
        <x:v>Monitor local access, incidents and classification alerts.</x:v>
      </x:c>
      <x:c r="D18" s="26" t="str">
        <x:v>No default access to protected documents.</x:v>
      </x:c>
      <x:c r="E18" s="26" t="str">
        <x:v>Independent security and incident review</x:v>
      </x:c>
      <x:c r="F18" s="26" t="str">
        <x:v>Yes, unless expressly group/platform scope</x:v>
      </x:c>
      <x:c r="G18" s="26" t="str">
        <x:v>Proposed</x:v>
      </x:c>
    </x:row>
    <x:row r="19" ht="51" customHeight="1">
      <x:c r="A19" s="26" t="str">
        <x:v>Document controller</x:v>
      </x:c>
      <x:c r="B19" s="26" t="str">
        <x:v>Assigned library</x:v>
      </x:c>
      <x:c r="C19" s="26" t="str">
        <x:v>Register, classify, version and release controlled records.</x:v>
      </x:c>
      <x:c r="D19" s="26" t="str">
        <x:v>Cannot circumvent approval or holds.</x:v>
      </x:c>
      <x:c r="E19" s="26" t="str">
        <x:v>Separate approver for publication</x:v>
      </x:c>
      <x:c r="F19" s="26" t="str">
        <x:v>Yes, unless expressly group/platform scope</x:v>
      </x:c>
      <x:c r="G19" s="26" t="str">
        <x:v>Proposed</x:v>
      </x:c>
    </x:row>
    <x:row r="20" ht="51" customHeight="1">
      <x:c r="A20" s="26" t="str">
        <x:v>Document custodian</x:v>
      </x:c>
      <x:c r="B20" s="26" t="str">
        <x:v>Named document or collection</x:v>
      </x:c>
      <x:c r="C20" s="26" t="str">
        <x:v>Own access, classification and retention contact.</x:v>
      </x:c>
      <x:c r="D20" s="26" t="str">
        <x:v>No unrestricted group-wide rights.</x:v>
      </x:c>
      <x:c r="E20" s="26" t="str">
        <x:v>Share approval for restricted documents</x:v>
      </x:c>
      <x:c r="F20" s="26" t="str">
        <x:v>Yes, unless expressly group/platform scope</x:v>
      </x:c>
      <x:c r="G20" s="26" t="str">
        <x:v>Proposed</x:v>
      </x:c>
    </x:row>
    <x:row r="21" ht="51" customHeight="1">
      <x:c r="A21" s="26" t="str">
        <x:v>Contributor / editor</x:v>
      </x:c>
      <x:c r="B21" s="26" t="str">
        <x:v>Granted documents</x:v>
      </x:c>
      <x:c r="C21" s="26" t="str">
        <x:v>Upload and edit working copies.</x:v>
      </x:c>
      <x:c r="D21" s="26" t="str">
        <x:v>Cannot approve own controlled release.</x:v>
      </x:c>
      <x:c r="E21" s="26" t="str">
        <x:v>Maker/checker on controlled documents</x:v>
      </x:c>
      <x:c r="F21" s="26" t="str">
        <x:v>Yes, unless expressly group/platform scope</x:v>
      </x:c>
      <x:c r="G21" s="26" t="str">
        <x:v>Proposed</x:v>
      </x:c>
    </x:row>
    <x:row r="22" ht="51" customHeight="1">
      <x:c r="A22" s="26" t="str">
        <x:v>Reviewer / commentator</x:v>
      </x:c>
      <x:c r="B22" s="26" t="str">
        <x:v>Assigned documents</x:v>
      </x:c>
      <x:c r="C22" s="26" t="str">
        <x:v>Comment, request changes, review versions.</x:v>
      </x:c>
      <x:c r="D22" s="26" t="str">
        <x:v>No self-grant or release rights.</x:v>
      </x:c>
      <x:c r="E22" s="26" t="str">
        <x:v>Independent of author where required</x:v>
      </x:c>
      <x:c r="F22" s="26" t="str">
        <x:v>Yes, unless expressly group/platform scope</x:v>
      </x:c>
      <x:c r="G22" s="26" t="str">
        <x:v>Proposed</x:v>
      </x:c>
    </x:row>
    <x:row r="23" ht="51" customHeight="1">
      <x:c r="A23" s="26" t="str">
        <x:v>Approver / publisher</x:v>
      </x:c>
      <x:c r="B23" s="26" t="str">
        <x:v>Assigned workflow</x:v>
      </x:c>
      <x:c r="C23" s="26" t="str">
        <x:v>Approve immutable hashes and publish approved revision.</x:v>
      </x:c>
      <x:c r="D23" s="26" t="str">
        <x:v>No edit of signed approved bytes.</x:v>
      </x:c>
      <x:c r="E23" s="26" t="str">
        <x:v>Must meet quorum / SoD</x:v>
      </x:c>
      <x:c r="F23" s="26" t="str">
        <x:v>Yes, unless expressly group/platform scope</x:v>
      </x:c>
      <x:c r="G23" s="26" t="str">
        <x:v>Proposed</x:v>
      </x:c>
    </x:row>
    <x:row r="24" ht="51" customHeight="1">
      <x:c r="A24" s="26" t="str">
        <x:v>Knowledge steward</x:v>
      </x:c>
      <x:c r="B24" s="26" t="str">
        <x:v>Assigned KB space</x:v>
      </x:c>
      <x:c r="C24" s="26" t="str">
        <x:v>Maintain canonical articles and scheduled reviews.</x:v>
      </x:c>
      <x:c r="D24" s="26" t="str">
        <x:v>No cross-entity search or publish beyond grants.</x:v>
      </x:c>
      <x:c r="E24" s="26" t="str">
        <x:v>Independent approval of controlled SOPs</x:v>
      </x:c>
      <x:c r="F24" s="26" t="str">
        <x:v>Yes, unless expressly group/platform scope</x:v>
      </x:c>
      <x:c r="G24" s="26" t="str">
        <x:v>Proposed</x:v>
      </x:c>
    </x:row>
    <x:row r="25" ht="51" customHeight="1">
      <x:c r="A25" s="26" t="str">
        <x:v>Workflow designer</x:v>
      </x:c>
      <x:c r="B25" s="26" t="str">
        <x:v>Approved workflow domain</x:v>
      </x:c>
      <x:c r="C25" s="26" t="str">
        <x:v>Configure versioned state machines/routing.</x:v>
      </x:c>
      <x:c r="D25" s="26" t="str">
        <x:v>Cannot approve by modifying live workflow.</x:v>
      </x:c>
      <x:c r="E25" s="26" t="str">
        <x:v>Change approval plus staging simulation</x:v>
      </x:c>
      <x:c r="F25" s="26" t="str">
        <x:v>Yes, unless expressly group/platform scope</x:v>
      </x:c>
      <x:c r="G25" s="26" t="str">
        <x:v>Proposed</x:v>
      </x:c>
    </x:row>
    <x:row r="26" ht="51" customHeight="1">
      <x:c r="A26" s="26" t="str">
        <x:v>Read-only viewer</x:v>
      </x:c>
      <x:c r="B26" s="26" t="str">
        <x:v>Granted documents</x:v>
      </x:c>
      <x:c r="C26" s="26" t="str">
        <x:v>View permitted content and acknowledge required reading.</x:v>
      </x:c>
      <x:c r="D26" s="26" t="str">
        <x:v>No editing, exports or shares unless explicitly granted.</x:v>
      </x:c>
      <x:c r="E26" s="26" t="str">
        <x:v>Document-specific authorization</x:v>
      </x:c>
      <x:c r="F26" s="26" t="str">
        <x:v>Yes, unless expressly group/platform scope</x:v>
      </x:c>
      <x:c r="G26" s="26" t="str">
        <x:v>Proposed</x:v>
      </x:c>
    </x:row>
    <x:row r="27" ht="51" customHeight="1">
      <x:c r="A27" s="26" t="str">
        <x:v>External guest / auditor</x:v>
      </x:c>
      <x:c r="B27" s="26" t="str">
        <x:v>Specific collaboration</x:v>
      </x:c>
      <x:c r="C27" s="26" t="str">
        <x:v>Review invited folders / evidence packages.</x:v>
      </x:c>
      <x:c r="D27" s="26" t="str">
        <x:v>No tenant enumeration or rights to other guests.</x:v>
      </x:c>
      <x:c r="E27" s="26" t="str">
        <x:v>Identity validation, expiry, NDA if needed</x:v>
      </x:c>
      <x:c r="F27" s="26" t="str">
        <x:v>Yes, unless expressly group/platform scope</x:v>
      </x:c>
      <x:c r="G27" s="26" t="str">
        <x:v>Proposed</x:v>
      </x:c>
    </x:row>
    <x:row r="28" ht="51" customHeight="1">
      <x:c r="A28" s="26" t="str">
        <x:v>Service/workload identity</x:v>
      </x:c>
      <x:c r="B28" s="26" t="str">
        <x:v>Specific tenant + API scopes</x:v>
      </x:c>
      <x:c r="C28" s="26" t="str">
        <x:v>Execute narrow automation and connector jobs.</x:v>
      </x:c>
      <x:c r="D28" s="26" t="str">
        <x:v>No interactive login; no universal multi-tenant API key.</x:v>
      </x:c>
      <x:c r="E28" s="26" t="str">
        <x:v>Secret rotation and workload approval</x:v>
      </x:c>
      <x:c r="F28" s="26" t="str">
        <x:v>Yes, unless expressly group/platform scope</x:v>
      </x:c>
      <x:c r="G28" s="26" t="str">
        <x:v>Proposed</x:v>
      </x:c>
    </x:row>
    <x:row r="29" ht="51" customHeight="1">
      <x:c r="A29" s="26" t="str">
        <x:v>Key-recovery trustee</x:v>
      </x:c>
      <x:c r="B29" s="26" t="str">
        <x:v>Key domain + approved case</x:v>
      </x:c>
      <x:c r="C29" s="26" t="str">
        <x:v>Participate in quorum recovery, never solo.</x:v>
      </x:c>
      <x:c r="D29" s="26" t="str">
        <x:v>No routine content access or invisible recovery.</x:v>
      </x:c>
      <x:c r="E29" s="26" t="str">
        <x:v>Quorum, legal basis, immutable event</x:v>
      </x:c>
      <x:c r="F29" s="26" t="str">
        <x:v>Yes, unless expressly group/platform scope</x:v>
      </x:c>
      <x:c r="G29" s="26" t="str">
        <x:v>Proposed</x:v>
      </x:c>
    </x:row>
    <x:row r="30" ht="51" customHeight="1">
      <x:c r="A30" s="26" t="str">
        <x:v>Emergency incident responder</x:v>
      </x:c>
      <x:c r="B30" s="26" t="str">
        <x:v>Time-limited scope</x:v>
      </x:c>
      <x:c r="C30" s="26" t="str">
        <x:v>Contain incidents and revoke sessions.</x:v>
      </x:c>
      <x:c r="D30" s="26" t="str">
        <x:v>No automatic plaintext/key bypass; only approved exceptional grants.</x:v>
      </x:c>
      <x:c r="E30" s="26" t="str">
        <x:v>Ticket, dual control and postmortem</x:v>
      </x:c>
      <x:c r="F30" s="26" t="str">
        <x:v>Yes, unless expressly group/platform scope</x:v>
      </x:c>
      <x:c r="G30" s="26" t="str">
        <x:v>Proposed</x:v>
      </x:c>
    </x:row>
  </x:sheetData>
  <x:mergeCells>
    <x:mergeCell ref="A1:G2"/>
    <x:mergeCell ref="A3:G3"/>
  </x:mergeCells>
  <x:dataValidations count="1">
    <x:dataValidation type="list" sqref="G5:G30">
      <x:formula1>"Proposed,Security review,Approved,Blocked"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15" hidden="0" customWidth="1"/>
    <x:col min="4" max="4" width="77" hidden="0" customWidth="1"/>
    <x:col min="5" max="5" width="72" hidden="0" customWidth="1"/>
    <x:col min="6" max="6" width="22" hidden="0" customWidth="1"/>
    <x:col min="7" max="7" width="30" hidden="0" customWidth="1"/>
  </x:cols>
  <x:sheetData>
    <x:row r="1" ht="23" customHeight="1">
      <x:c r="A1" s="4" t="str">
        <x:v>RELEASE GATES  |  KMS DELIVERY REVIEW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29" customHeight="1">
      <x:c r="A3" s="11" t="str">
        <x:v>Go/no-go requires independent crypto and penetration evidence. Business or schedule pressure cannot override unresolved security blockers.</x:v>
      </x:c>
      <x:c r="B3" s="11"/>
      <x:c r="C3" s="11"/>
      <x:c r="D3" s="11"/>
      <x:c r="E3" s="11"/>
      <x:c r="F3" s="11"/>
      <x:c r="G3" s="11"/>
    </x:row>
    <x:row r="4" ht="28" customHeight="1">
      <x:c r="A4" s="19" t="str">
        <x:v>Gate</x:v>
      </x:c>
      <x:c r="B4" s="19" t="str">
        <x:v>Definition / milestone</x:v>
      </x:c>
      <x:c r="C4" s="19" t="str">
        <x:v>Signoff role</x:v>
      </x:c>
      <x:c r="D4" s="19" t="str">
        <x:v>Exit criteria</x:v>
      </x:c>
      <x:c r="E4" s="19" t="str">
        <x:v>Evidence required</x:v>
      </x:c>
      <x:c r="F4" s="19" t="str">
        <x:v>Gate status</x:v>
      </x:c>
      <x:c r="G4" s="19" t="str">
        <x:v>Evidence link</x:v>
      </x:c>
    </x:row>
    <x:row r="5" ht="51" customHeight="1">
      <x:c r="A5" s="26" t="str">
        <x:v>G0</x:v>
      </x:c>
      <x:c r="B5" s="26" t="str">
        <x:v>Charter and authority</x:v>
      </x:c>
      <x:c r="C5" s="26" t="str">
        <x:v>R01</x:v>
      </x:c>
      <x:c r="D5" s="26" t="str">
        <x:v>Funding/risk appetite; 10 legal entities and operating jurisdictions; responsible data controllers named.</x:v>
      </x:c>
      <x:c r="E5" s="26" t="str">
        <x:v>Approved charter, entity list, governance and decision log.</x:v>
      </x:c>
      <x:c r="F5" s="26" t="str">
        <x:v>Not started</x:v>
      </x:c>
      <x:c r="G5" s="26" t="str"/>
    </x:row>
    <x:row r="6" ht="51" customHeight="1">
      <x:c r="A6" s="26" t="str">
        <x:v>G1</x:v>
      </x:c>
      <x:c r="B6" s="26" t="str">
        <x:v>Threat model and design</x:v>
      </x:c>
      <x:c r="C6" s="26" t="str">
        <x:v>R19</x:v>
      </x:c>
      <x:c r="D6" s="26" t="str">
        <x:v>Agree WordPress threat boundary, protection modes, data flows, abuse cases and legal constraints.</x:v>
      </x:c>
      <x:c r="E6" s="26" t="str">
        <x:v>Reviewed diagrams; ADRs; product-mode compatibility matrix.</x:v>
      </x:c>
      <x:c r="F6" s="26" t="str">
        <x:v>Not started</x:v>
      </x:c>
      <x:c r="G6" s="26" t="str"/>
    </x:row>
    <x:row r="7" ht="51" customHeight="1">
      <x:c r="A7" s="26" t="str">
        <x:v>G2</x:v>
      </x:c>
      <x:c r="B7" s="26" t="str">
        <x:v>Tenant and access proof</x:v>
      </x:c>
      <x:c r="C7" s="26" t="str">
        <x:v>R21</x:v>
      </x:c>
      <x:c r="D7" s="26" t="str">
        <x:v>Prove isolation and formal permission order, independent identity, limited WordPress bridge.</x:v>
      </x:c>
      <x:c r="E7" s="26" t="str">
        <x:v>Policy test harness; API fuzzing results; negative tenant tests.</x:v>
      </x:c>
      <x:c r="F7" s="26" t="str">
        <x:v>Not started</x:v>
      </x:c>
      <x:c r="G7" s="26" t="str"/>
    </x:row>
    <x:row r="8" ht="51" customHeight="1">
      <x:c r="A8" s="26" t="str">
        <x:v>G3</x:v>
      </x:c>
      <x:c r="B8" s="26" t="str">
        <x:v>Cryptographic assurance</x:v>
      </x:c>
      <x:c r="C8" s="26" t="str">
        <x:v>R25</x:v>
      </x:c>
      <x:c r="D8" s="26" t="str">
        <x:v>Confirm independent trusted-client distribution, E2EE protocol, key identity, recovery and trust limits.</x:v>
      </x:c>
      <x:c r="E8" s="26" t="str">
        <x:v>Third-party crypto report; protocol vectors; WordPress-RCE red-team scenario.</x:v>
      </x:c>
      <x:c r="F8" s="26" t="str">
        <x:v>Not started</x:v>
      </x:c>
      <x:c r="G8" s="26" t="str"/>
    </x:row>
    <x:row r="9" ht="51" customHeight="1">
      <x:c r="A9" s="26" t="str">
        <x:v>G4</x:v>
      </x:c>
      <x:c r="B9" s="26" t="str">
        <x:v>Core document lifecycle</x:v>
      </x:c>
      <x:c r="C9" s="26" t="str">
        <x:v>R03</x:v>
      </x:c>
      <x:c r="D9" s="26" t="str">
        <x:v>Upload, quarantine, immutable versions, approval, audit and download all tested end-to-end.</x:v>
      </x:c>
      <x:c r="E9" s="26" t="str">
        <x:v>Traceability to core requirements; E2E automation; malicious-file tests.</x:v>
      </x:c>
      <x:c r="F9" s="26" t="str">
        <x:v>Not started</x:v>
      </x:c>
      <x:c r="G9" s="26" t="str"/>
    </x:row>
    <x:row r="10" ht="51" customHeight="1">
      <x:c r="A10" s="26" t="str">
        <x:v>G5</x:v>
      </x:c>
      <x:c r="B10" s="26" t="str">
        <x:v>Governance and resilience</x:v>
      </x:c>
      <x:c r="C10" s="26" t="str">
        <x:v>R12</x:v>
      </x:c>
      <x:c r="D10" s="26" t="str">
        <x:v>Retention/holds/DSRs, 13 languages, WCAG, backup/keys/identity restore all validated.</x:v>
      </x:c>
      <x:c r="E10" s="26" t="str">
        <x:v>Legal/privacy signoffs; translated UAT; DR and retention tabletop.</x:v>
      </x:c>
      <x:c r="F10" s="26" t="str">
        <x:v>Not started</x:v>
      </x:c>
      <x:c r="G10" s="26" t="str"/>
    </x:row>
    <x:row r="11" ht="51" customHeight="1">
      <x:c r="A11" s="26" t="str">
        <x:v>G6</x:v>
      </x:c>
      <x:c r="B11" s="26" t="str">
        <x:v>Subsidiary pilot</x:v>
      </x:c>
      <x:c r="C11" s="26" t="str">
        <x:v>R11</x:v>
      </x:c>
      <x:c r="D11" s="26" t="str">
        <x:v>Test multiple separate subsidiaries (including RTL), different roles and cross-company share path.</x:v>
      </x:c>
      <x:c r="E11" s="26" t="str">
        <x:v>Signed tenant UAT, support runbooks and resolved high-severity defects.</x:v>
      </x:c>
      <x:c r="F11" s="26" t="str">
        <x:v>Not started</x:v>
      </x:c>
      <x:c r="G11" s="26" t="str"/>
    </x:row>
    <x:row r="12" ht="51" customHeight="1">
      <x:c r="A12" s="26" t="str">
        <x:v>G7</x:v>
      </x:c>
      <x:c r="B12" s="26" t="str">
        <x:v>Independent production go/no-go</x:v>
      </x:c>
      <x:c r="C12" s="26" t="str">
        <x:v>R01</x:v>
      </x:c>
      <x:c r="D12" s="26" t="str">
        <x:v>No unresolved critical vulnerabilities; approved exceptions; operations and incident readiness.</x:v>
      </x:c>
      <x:c r="E12" s="26" t="str">
        <x:v>Independent pen-test, security signoff, restore results and release checklist.</x:v>
      </x:c>
      <x:c r="F12" s="26" t="str">
        <x:v>Not started</x:v>
      </x:c>
      <x:c r="G12" s="26" t="str"/>
    </x:row>
    <x:row r="13" ht="51" customHeight="1">
      <x:c r="A13" s="26" t="str">
        <x:v>G8</x:v>
      </x:c>
      <x:c r="B13" s="26" t="str">
        <x:v>Enterprise expansion change gate</x:v>
      </x:c>
      <x:c r="C13" s="26" t="str">
        <x:v>R03</x:v>
      </x:c>
      <x:c r="D13" s="26" t="str">
        <x:v>New AI, coauthoring, mobile, and vertical modules receive mode-specific security/review tests.</x:v>
      </x:c>
      <x:c r="E13" s="26" t="str">
        <x:v>Per-module ADR, impact assessment, signed regression and training.</x:v>
      </x:c>
      <x:c r="F13" s="26" t="str">
        <x:v>Not started</x:v>
      </x:c>
      <x:c r="G13" s="26" t="str"/>
    </x:row>
  </x:sheetData>
  <x:mergeCells>
    <x:mergeCell ref="A1:G2"/>
    <x:mergeCell ref="A3:G3"/>
  </x:mergeCells>
  <x:dataValidations count="1">
    <x:dataValidation type="list" sqref="F5:F13">
      <x:formula1>"Not started,In progress,Passed,Blocked,Not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59" hidden="0" customWidth="1"/>
    <x:col min="3" max="3" width="85" hidden="0" customWidth="1"/>
    <x:col min="4" max="4" width="15" hidden="0" customWidth="1"/>
    <x:col min="5" max="5" width="18" hidden="0" customWidth="1"/>
    <x:col min="6" max="6" width="28" hidden="0" customWidth="1"/>
  </x:cols>
  <x:sheetData>
    <x:row r="1" ht="23" customHeight="1">
      <x:c r="A1" s="4" t="str">
        <x:v>BASELINE REVISIONS  |  KMS DELIVERY REVIEW</x:v>
      </x:c>
      <x:c r="B1" s="4"/>
      <x:c r="C1" s="4"/>
      <x:c r="D1" s="4"/>
      <x:c r="E1" s="4"/>
      <x:c r="F1" s="4"/>
    </x:row>
    <x:row r="2" ht="23" customHeight="1">
      <x:c r="A2" s="4"/>
      <x:c r="B2" s="4"/>
      <x:c r="C2" s="4"/>
      <x:c r="D2" s="4"/>
      <x:c r="E2" s="4"/>
      <x:c r="F2" s="4"/>
    </x:row>
    <x:row r="3" ht="29" customHeight="1">
      <x:c r="A3" s="11" t="str">
        <x:v>Escalations are conditional, not claims that prior features were missing. Update the original 346-feature catalog after architecture/legal approval.</x:v>
      </x:c>
      <x:c r="B3" s="11"/>
      <x:c r="C3" s="11"/>
      <x:c r="D3" s="11"/>
      <x:c r="E3" s="11"/>
      <x:c r="F3" s="11"/>
    </x:row>
    <x:row r="4" ht="28" customHeight="1">
      <x:c r="A4" s="19" t="str">
        <x:v>Existing ID</x:v>
      </x:c>
      <x:c r="B4" s="19" t="str">
        <x:v>Conditional priority change</x:v>
      </x:c>
      <x:c r="C4" s="19" t="str">
        <x:v>Reason for change</x:v>
      </x:c>
      <x:c r="D4" s="19" t="str">
        <x:v>Accountable</x:v>
      </x:c>
      <x:c r="E4" s="19" t="str">
        <x:v>Review status</x:v>
      </x:c>
      <x:c r="F4" s="19" t="str">
        <x:v>Decision/evidence</x:v>
      </x:c>
    </x:row>
    <x:row r="5" ht="51" customHeight="1">
      <x:c r="A5" s="26" t="str">
        <x:v>ENC-08</x:v>
      </x:c>
      <x:c r="B5" s="26" t="str">
        <x:v>SHOULD -&gt; launch-blocking for high-assurance E2EE</x:v>
      </x:c>
      <x:c r="C5" s="26" t="str">
        <x:v>Verified recipient key identity or equivalently strong external verification must exist before any sensitive cross-device/cross-company sharing.</x:v>
      </x:c>
      <x:c r="D5" s="26" t="str">
        <x:v>R20</x:v>
      </x:c>
      <x:c r="E5" s="26" t="str">
        <x:v>Open</x:v>
      </x:c>
      <x:c r="F5" s="26" t="str"/>
    </x:row>
    <x:row r="6" ht="51" customHeight="1">
      <x:c r="A6" s="26" t="str">
        <x:v>RPT-04</x:v>
      </x:c>
      <x:c r="B6" s="26" t="str">
        <x:v>SHOULD -&gt; launch-blocking for regulated/auditable deployment</x:v>
      </x:c>
      <x:c r="C6" s="26" t="str">
        <x:v>Integrity evidence must be tamper-evident and stored outside WordPress administration.</x:v>
      </x:c>
      <x:c r="D6" s="26" t="str">
        <x:v>R27</x:v>
      </x:c>
      <x:c r="E6" s="26" t="str">
        <x:v>Open</x:v>
      </x:c>
      <x:c r="F6" s="26" t="str"/>
    </x:row>
    <x:row r="7" ht="51" customHeight="1">
      <x:c r="A7" s="26" t="str">
        <x:v>OPS-05</x:v>
      </x:c>
      <x:c r="B7" s="26" t="str">
        <x:v>SHOULD -&gt; operational go-live prerequisite</x:v>
      </x:c>
      <x:c r="C7" s="26" t="str">
        <x:v>RTO/RPO targets and successful restorations are necessary to know whether production is supportable.</x:v>
      </x:c>
      <x:c r="D7" s="26" t="str">
        <x:v>R39</x:v>
      </x:c>
      <x:c r="E7" s="26" t="str">
        <x:v>Open</x:v>
      </x:c>
      <x:c r="F7" s="26" t="str"/>
    </x:row>
    <x:row r="8" ht="51" customHeight="1">
      <x:c r="A8" s="26" t="str">
        <x:v>TEN-13</x:v>
      </x:c>
      <x:c r="B8" s="26" t="str">
        <x:v>SHOULD -&gt; mandated where contractual/legal residency applies</x:v>
      </x:c>
      <x:c r="C8" s="26" t="str">
        <x:v>Residency must cover backups, caches, metrics, keys, support and subprocessors, not only primary objects.</x:v>
      </x:c>
      <x:c r="D8" s="26" t="str">
        <x:v>R14</x:v>
      </x:c>
      <x:c r="E8" s="26" t="str">
        <x:v>Open</x:v>
      </x:c>
      <x:c r="F8" s="26" t="str"/>
    </x:row>
    <x:row r="9" ht="51" customHeight="1">
      <x:c r="A9" s="26" t="str">
        <x:v>PRV-03</x:v>
      </x:c>
      <x:c r="B9" s="26" t="str">
        <x:v>SHOULD -&gt; mandated if subsidiaries face distinct jurisdictional regimes</x:v>
      </x:c>
      <x:c r="C9" s="26" t="str">
        <x:v>Tenant-specific legal profiles needed to avoid invalid uniform retention/disclosure rules.</x:v>
      </x:c>
      <x:c r="D9" s="26" t="str">
        <x:v>R13</x:v>
      </x:c>
      <x:c r="E9" s="26" t="str">
        <x:v>Open</x:v>
      </x:c>
      <x:c r="F9" s="26" t="str"/>
    </x:row>
    <x:row r="10" ht="51" customHeight="1">
      <x:c r="A10" s="26" t="str">
        <x:v>AUT-04</x:v>
      </x:c>
      <x:c r="B10" s="26" t="str">
        <x:v>SHOULD -&gt; strongly recommended go-live control for enterprise employees</x:v>
      </x:c>
      <x:c r="C10" s="26" t="str">
        <x:v>SCIM/event-driven provisioning and timely departure suspension reduce orphan accounts.</x:v>
      </x:c>
      <x:c r="D10" s="26" t="str">
        <x:v>R21</x:v>
      </x:c>
      <x:c r="E10" s="26" t="str">
        <x:v>Open</x:v>
      </x:c>
      <x:c r="F10" s="26" t="str"/>
    </x:row>
    <x:row r="11" ht="51" customHeight="1">
      <x:c r="A11" s="26" t="str">
        <x:v>IAM-16</x:v>
      </x:c>
      <x:c r="B11" s="26" t="str">
        <x:v>SHOULD -&gt; mandatory for privileged and sensitive periodic reviews</x:v>
      </x:c>
      <x:c r="C11" s="26" t="str">
        <x:v>Management needs auditable certifications of elevated access and stale external grants.</x:v>
      </x:c>
      <x:c r="D11" s="26" t="str">
        <x:v>R27</x:v>
      </x:c>
      <x:c r="E11" s="26" t="str">
        <x:v>Open</x:v>
      </x:c>
      <x:c r="F11" s="26" t="str"/>
    </x:row>
    <x:row r="12" ht="51" customHeight="1">
      <x:c r="A12" s="26" t="str">
        <x:v>REC-09</x:v>
      </x:c>
      <x:c r="B12" s="26" t="str">
        <x:v>SHOULD -&gt; mandatory if a record class must be WORM/immutable</x:v>
      </x:c>
      <x:c r="C12" s="26" t="str">
        <x:v>Must be technical rather than process-only where law/contract mandates immutability.</x:v>
      </x:c>
      <x:c r="D12" s="26" t="str">
        <x:v>R12</x:v>
      </x:c>
      <x:c r="E12" s="26" t="str">
        <x:v>Open</x:v>
      </x:c>
      <x:c r="F12" s="26" t="str"/>
    </x:row>
    <x:row r="13" ht="51" customHeight="1">
      <x:c r="A13" s="26" t="str">
        <x:v>REC-13</x:v>
      </x:c>
      <x:c r="B13" s="26" t="str">
        <x:v>SHOULD -&gt; mandatory if eDiscovery obligations apply</x:v>
      </x:c>
      <x:c r="C13" s="26" t="str">
        <x:v>Zero-Knowledge recovery/export plan must be chosen before regulated content is encrypted.</x:v>
      </x:c>
      <x:c r="D13" s="26" t="str">
        <x:v>R13</x:v>
      </x:c>
      <x:c r="E13" s="26" t="str">
        <x:v>Open</x:v>
      </x:c>
      <x:c r="F13" s="26" t="str"/>
    </x:row>
    <x:row r="14" ht="51" customHeight="1">
      <x:c r="A14" s="26" t="str">
        <x:v>AIX-13</x:v>
      </x:c>
      <x:c r="B14" s="26" t="str">
        <x:v>SHOULD -&gt; mandatory before enabling AI</x:v>
      </x:c>
      <x:c r="C14" s="26" t="str">
        <x:v>AI inputs, outputs, source access and provider actions must be auditable.</x:v>
      </x:c>
      <x:c r="D14" s="26" t="str">
        <x:v>R14</x:v>
      </x:c>
      <x:c r="E14" s="26" t="str">
        <x:v>Open</x:v>
      </x:c>
      <x:c r="F14" s="26" t="str"/>
    </x:row>
    <x:row r="15" ht="51" customHeight="1">
      <x:c r="A15" s="26" t="str">
        <x:v>AIX-16</x:v>
      </x:c>
      <x:c r="B15" s="26" t="str">
        <x:v>SHOULD -&gt; mandatory before sending content to an external model</x:v>
      </x:c>
      <x:c r="C15" s="26" t="str">
        <x:v>Provider retention, training exclusion, subprocessors and DPA must be enforceable.</x:v>
      </x:c>
      <x:c r="D15" s="26" t="str">
        <x:v>R14</x:v>
      </x:c>
      <x:c r="E15" s="26" t="str">
        <x:v>Open</x:v>
      </x:c>
      <x:c r="F15" s="26" t="str"/>
    </x:row>
    <x:row r="16" ht="51" customHeight="1">
      <x:c r="A16" s="26" t="str">
        <x:v>MOB-02</x:v>
      </x:c>
      <x:c r="B16" s="26" t="str">
        <x:v>SHOULD -&gt; mandatory if an independent native client is the selected E2EE trust model</x:v>
      </x:c>
      <x:c r="C16" s="26" t="str">
        <x:v>Strong separation from WordPress requires shipped, signed and independently verified client code.</x:v>
      </x:c>
      <x:c r="D16" s="26" t="str">
        <x:v>R37</x:v>
      </x:c>
      <x:c r="E16" s="26" t="str">
        <x:v>Open</x:v>
      </x:c>
      <x:c r="F16" s="26" t="str"/>
    </x:row>
    <x:row r="17" ht="51" customHeight="1">
      <x:c r="A17" s="26" t="str">
        <x:v>SEC-07</x:v>
      </x:c>
      <x:c r="B17" s="26" t="str">
        <x:v>SHOULD -&gt; assess as mandatory under high ransomware threat</x:v>
      </x:c>
      <x:c r="C17" s="26" t="str">
        <x:v>Immutable versions / offline restoration are necessary even if anomaly detection remains optional.</x:v>
      </x:c>
      <x:c r="D17" s="26" t="str">
        <x:v>R23</x:v>
      </x:c>
      <x:c r="E17" s="26" t="str">
        <x:v>Open</x:v>
      </x:c>
      <x:c r="F17" s="26" t="str"/>
    </x:row>
    <x:row r="18" ht="51" customHeight="1">
      <x:c r="A18" s="26" t="str">
        <x:v>PRV-04</x:v>
      </x:c>
      <x:c r="B18" s="26" t="str">
        <x:v>SHOULD -&gt; mandatory when applicable personal-data rights are triggered</x:v>
      </x:c>
      <x:c r="C18" s="26" t="str">
        <x:v>Subject-rights processes cannot be postponed merely because feature phase says Enterprise.</x:v>
      </x:c>
      <x:c r="D18" s="26" t="str">
        <x:v>R14</x:v>
      </x:c>
      <x:c r="E18" s="26" t="str">
        <x:v>Open</x:v>
      </x:c>
      <x:c r="F18" s="26" t="str"/>
    </x:row>
  </x:sheetData>
  <x:mergeCells>
    <x:mergeCell ref="A1:F2"/>
    <x:mergeCell ref="A3:F3"/>
  </x:mergeCells>
  <x:dataValidations count="1">
    <x:dataValidation type="list" sqref="E5:E18">
      <x:formula1>"Open,Under review,Approved,Rejected,Deferred"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66" hidden="0" customWidth="1"/>
    <x:col min="4" max="4" width="72" hidden="0" customWidth="1"/>
    <x:col min="5" max="5" width="25" hidden="0" customWidth="1"/>
    <x:col min="6" max="6" width="17" hidden="0" customWidth="1"/>
    <x:col min="7" max="7" width="36" hidden="0" customWidth="1"/>
  </x:cols>
  <x:sheetData>
    <x:row r="1" ht="23" customHeight="1">
      <x:c r="A1" s="4" t="str">
        <x:v>ACCEPTANCE SCENARIOS  |  KMS DELIVERY REVIEW</x:v>
      </x:c>
      <x:c r="B1" s="4"/>
      <x:c r="C1" s="4"/>
      <x:c r="D1" s="4"/>
      <x:c r="E1" s="4"/>
      <x:c r="F1" s="4"/>
      <x:c r="G1" s="4"/>
    </x:row>
    <x:row r="2" ht="23" customHeight="1">
      <x:c r="A2" s="4"/>
      <x:c r="B2" s="4"/>
      <x:c r="C2" s="4"/>
      <x:c r="D2" s="4"/>
      <x:c r="E2" s="4"/>
      <x:c r="F2" s="4"/>
      <x:c r="G2" s="4"/>
    </x:row>
    <x:row r="3" ht="29" customHeight="1">
      <x:c r="A3" s="11" t="str">
        <x:v>Threat-model-driven and cross-role acceptance tests. Add automated test URLs, external assessment evidence and release gate mapping.</x:v>
      </x:c>
      <x:c r="B3" s="11"/>
      <x:c r="C3" s="11"/>
      <x:c r="D3" s="11"/>
      <x:c r="E3" s="11"/>
      <x:c r="F3" s="11"/>
      <x:c r="G3" s="11"/>
    </x:row>
    <x:row r="4" ht="28" customHeight="1">
      <x:c r="A4" s="19" t="str">
        <x:v>Test ID</x:v>
      </x:c>
      <x:c r="B4" s="19" t="str">
        <x:v>Test family</x:v>
      </x:c>
      <x:c r="C4" s="19" t="str">
        <x:v>Scenario</x:v>
      </x:c>
      <x:c r="D4" s="19" t="str">
        <x:v>Required evidence</x:v>
      </x:c>
      <x:c r="E4" s="19" t="str">
        <x:v>Affected modules</x:v>
      </x:c>
      <x:c r="F4" s="19" t="str">
        <x:v>Status</x:v>
      </x:c>
      <x:c r="G4" s="19" t="str">
        <x:v>Test artifact</x:v>
      </x:c>
    </x:row>
    <x:row r="5" ht="51" customHeight="1">
      <x:c r="A5" s="26" t="str">
        <x:v>T-01</x:v>
      </x:c>
      <x:c r="B5" s="26" t="str">
        <x:v>Isolation</x:v>
      </x:c>
      <x:c r="C5" s="26" t="str">
        <x:v>Tenant A admin guesses Tenant B document/version/metadata/queue ID</x:v>
      </x:c>
      <x:c r="D5" s="26" t="str">
        <x:v>All paths deny and independent audit has evidence.</x:v>
      </x:c>
      <x:c r="E5" s="26" t="str">
        <x:v>TEN,IAM,API,RPT</x:v>
      </x:c>
      <x:c r="F5" s="26" t="str">
        <x:v>Not run</x:v>
      </x:c>
      <x:c r="G5" s="26" t="str"/>
    </x:row>
    <x:row r="6" ht="51" customHeight="1">
      <x:c r="A6" s="26" t="str">
        <x:v>T-02</x:v>
      </x:c>
      <x:c r="B6" s="26" t="str">
        <x:v>E2EE code integrity</x:v>
      </x:c>
      <x:c r="C6" s="26" t="str">
        <x:v>WordPress administrator modifies WP theme/plugin to serve malicious JS</x:v>
      </x:c>
      <x:c r="D6" s="26" t="str">
        <x:v>Trusted client neither executes injected code nor releases keys or plaintext.</x:v>
      </x:c>
      <x:c r="E6" s="26" t="str">
        <x:v>ENC,API,MOB</x:v>
      </x:c>
      <x:c r="F6" s="26" t="str">
        <x:v>Not run</x:v>
      </x:c>
      <x:c r="G6" s="26" t="str"/>
    </x:row>
    <x:row r="7" ht="51" customHeight="1">
      <x:c r="A7" s="26" t="str">
        <x:v>T-03</x:v>
      </x:c>
      <x:c r="B7" s="26" t="str">
        <x:v>Recipient authenticity</x:v>
      </x:c>
      <x:c r="C7" s="26" t="str">
        <x:v>Attacker substitutes public key in key directory</x:v>
      </x:c>
      <x:c r="D7" s="26" t="str">
        <x:v>Trusted client blocks unverified recipient and alerts owner.</x:v>
      </x:c>
      <x:c r="E7" s="26" t="str">
        <x:v>ENC,AUT,EXT</x:v>
      </x:c>
      <x:c r="F7" s="26" t="str">
        <x:v>Not run</x:v>
      </x:c>
      <x:c r="G7" s="26" t="str"/>
    </x:row>
    <x:row r="8" ht="51" customHeight="1">
      <x:c r="A8" s="26" t="str">
        <x:v>T-04</x:v>
      </x:c>
      <x:c r="B8" s="26" t="str">
        <x:v>Privilege escalation</x:v>
      </x:c>
      <x:c r="C8" s="26" t="str">
        <x:v>Subsidiary admin grants self group-wide auditor/escrow role</x:v>
      </x:c>
      <x:c r="D8" s="26" t="str">
        <x:v>Permission creation rejected; privileged change requires separate approval.</x:v>
      </x:c>
      <x:c r="E8" s="26" t="str">
        <x:v>IAM,TEN</x:v>
      </x:c>
      <x:c r="F8" s="26" t="str">
        <x:v>Not run</x:v>
      </x:c>
      <x:c r="G8" s="26" t="str"/>
    </x:row>
    <x:row r="9" ht="51" customHeight="1">
      <x:c r="A9" s="26" t="str">
        <x:v>T-05</x:v>
      </x:c>
      <x:c r="B9" s="26" t="str">
        <x:v>Permission race</x:v>
      </x:c>
      <x:c r="C9" s="26" t="str">
        <x:v>Revoke user while export, preview, workflow and search requests run</x:v>
      </x:c>
      <x:c r="D9" s="26" t="str">
        <x:v>Defined consistency window enforced; no fresh unauthorized copy completed after final check.</x:v>
      </x:c>
      <x:c r="E9" s="26" t="str">
        <x:v>IAM,DOC,WFL</x:v>
      </x:c>
      <x:c r="F9" s="26" t="str">
        <x:v>Not run</x:v>
      </x:c>
      <x:c r="G9" s="26" t="str"/>
    </x:row>
    <x:row r="10" ht="51" customHeight="1">
      <x:c r="A10" s="26" t="str">
        <x:v>T-06</x:v>
      </x:c>
      <x:c r="B10" s="26" t="str">
        <x:v>Malicious document</x:v>
      </x:c>
      <x:c r="C10" s="26" t="str">
        <x:v>Upload malformed Office/PDF designed to exploit converter</x:v>
      </x:c>
      <x:c r="D10" s="26" t="str">
        <x:v>Quarantine and isolated sandbox prevents network/file/key compromise.</x:v>
      </x:c>
      <x:c r="E10" s="26" t="str">
        <x:v>DOC,SEC</x:v>
      </x:c>
      <x:c r="F10" s="26" t="str">
        <x:v>Not run</x:v>
      </x:c>
      <x:c r="G10" s="26" t="str"/>
    </x:row>
    <x:row r="11" ht="51" customHeight="1">
      <x:c r="A11" s="26" t="str">
        <x:v>T-07</x:v>
      </x:c>
      <x:c r="B11" s="26" t="str">
        <x:v>Confidential preview</x:v>
      </x:c>
      <x:c r="C11" s="26" t="str">
        <x:v>Request E2EE preview via ordinary WP dashboard</x:v>
      </x:c>
      <x:c r="D11" s="26" t="str">
        <x:v>System presents independent trusted viewer; no WP origin sees plaintext.</x:v>
      </x:c>
      <x:c r="E11" s="26" t="str">
        <x:v>ENC,DOC,UX</x:v>
      </x:c>
      <x:c r="F11" s="26" t="str">
        <x:v>Not run</x:v>
      </x:c>
      <x:c r="G11" s="26" t="str"/>
    </x:row>
    <x:row r="12" ht="51" customHeight="1">
      <x:c r="A12" s="26" t="str">
        <x:v>T-08</x:v>
      </x:c>
      <x:c r="B12" s="26" t="str">
        <x:v>Legal hold</x:v>
      </x:c>
      <x:c r="C12" s="26" t="str">
        <x:v>Place hold, then attempt deletion, retention expiry and crypto-erasure</x:v>
      </x:c>
      <x:c r="D12" s="26" t="str">
        <x:v>All destructive paths deny with preserved evidence.</x:v>
      </x:c>
      <x:c r="E12" s="26" t="str">
        <x:v>REC,ENC,OPS</x:v>
      </x:c>
      <x:c r="F12" s="26" t="str">
        <x:v>Not run</x:v>
      </x:c>
      <x:c r="G12" s="26" t="str"/>
    </x:row>
    <x:row r="13" ht="51" customHeight="1">
      <x:c r="A13" s="26" t="str">
        <x:v>T-09</x:v>
      </x:c>
      <x:c r="B13" s="26" t="str">
        <x:v>Key recovery</x:v>
      </x:c>
      <x:c r="C13" s="26" t="str">
        <x:v>Lose device; request recovery with one trustee instead of quorum</x:v>
      </x:c>
      <x:c r="D13" s="26" t="str">
        <x:v>Fails until independently approved quorum, then audited recovery succeeds.</x:v>
      </x:c>
      <x:c r="E13" s="26" t="str">
        <x:v>ENC,AUT</x:v>
      </x:c>
      <x:c r="F13" s="26" t="str">
        <x:v>Not run</x:v>
      </x:c>
      <x:c r="G13" s="26" t="str"/>
    </x:row>
    <x:row r="14" ht="51" customHeight="1">
      <x:c r="A14" s="26" t="str">
        <x:v>T-10</x:v>
      </x:c>
      <x:c r="B14" s="26" t="str">
        <x:v>Device compromise</x:v>
      </x:c>
      <x:c r="C14" s="26" t="str">
        <x:v>User loses previously synced phone and is deprovisioned</x:v>
      </x:c>
      <x:c r="D14" s="26" t="str">
        <x:v>New versions and future distribution denied; prior offline data limitation displayed.</x:v>
      </x:c>
      <x:c r="E14" s="26" t="str">
        <x:v>MOB,ENC,IAM</x:v>
      </x:c>
      <x:c r="F14" s="26" t="str">
        <x:v>Not run</x:v>
      </x:c>
      <x:c r="G14" s="26" t="str"/>
    </x:row>
    <x:row r="15" ht="51" customHeight="1">
      <x:c r="A15" s="26" t="str">
        <x:v>T-11</x:v>
      </x:c>
      <x:c r="B15" s="26" t="str">
        <x:v>Cross-company project</x:v>
      </x:c>
      <x:c r="C15" s="26" t="str">
        <x:v>Tenant A shares selected file with Tenant B group</x:v>
      </x:c>
      <x:c r="D15" s="26" t="str">
        <x:v>Named members only, approvals and keys verified, no blanket B rights.</x:v>
      </x:c>
      <x:c r="E15" s="26" t="str">
        <x:v>EXT,TEN,IAM</x:v>
      </x:c>
      <x:c r="F15" s="26" t="str">
        <x:v>Not run</x:v>
      </x:c>
      <x:c r="G15" s="26" t="str"/>
    </x:row>
    <x:row r="16" ht="51" customHeight="1">
      <x:c r="A16" s="26" t="str">
        <x:v>T-12</x:v>
      </x:c>
      <x:c r="B16" s="26" t="str">
        <x:v>Audit tampering</x:v>
      </x:c>
      <x:c r="C16" s="26" t="str">
        <x:v>WP admin tries to delete download and authorization failure events</x:v>
      </x:c>
      <x:c r="D16" s="26" t="str">
        <x:v>Independent audit continues to show original events and tampering alarm.</x:v>
      </x:c>
      <x:c r="E16" s="26" t="str">
        <x:v>RPT,SEC</x:v>
      </x:c>
      <x:c r="F16" s="26" t="str">
        <x:v>Not run</x:v>
      </x:c>
      <x:c r="G16" s="26" t="str"/>
    </x:row>
    <x:row r="17" ht="51" customHeight="1">
      <x:c r="A17" s="26" t="str">
        <x:v>T-13</x:v>
      </x:c>
      <x:c r="B17" s="26" t="str">
        <x:v>AI leakage</x:v>
      </x:c>
      <x:c r="C17" s="26" t="str">
        <x:v>Revoked document exists in vector index and cached answer</x:v>
      </x:c>
      <x:c r="D17" s="26" t="str">
        <x:v>Retrieval, cache and output no longer expose that source.</x:v>
      </x:c>
      <x:c r="E17" s="26" t="str">
        <x:v>AIX,MET,IAM</x:v>
      </x:c>
      <x:c r="F17" s="26" t="str">
        <x:v>Not run</x:v>
      </x:c>
      <x:c r="G17" s="26" t="str"/>
    </x:row>
    <x:row r="18" ht="51" customHeight="1">
      <x:c r="A18" s="26" t="str">
        <x:v>T-14</x:v>
      </x:c>
      <x:c r="B18" s="26" t="str">
        <x:v>Prompt injection</x:v>
      </x:c>
      <x:c r="C18" s="26" t="str">
        <x:v>Malicious document instructs AI agent to email private file</x:v>
      </x:c>
      <x:c r="D18" s="26" t="str">
        <x:v>No autonomous export, tool grant or workflow approval.</x:v>
      </x:c>
      <x:c r="E18" s="26" t="str">
        <x:v>AIX,WFL,SEC</x:v>
      </x:c>
      <x:c r="F18" s="26" t="str">
        <x:v>Not run</x:v>
      </x:c>
      <x:c r="G18" s="26" t="str"/>
    </x:row>
    <x:row r="19" ht="51" customHeight="1">
      <x:c r="A19" s="26" t="str">
        <x:v>T-15</x:v>
      </x:c>
      <x:c r="B19" s="26" t="str">
        <x:v>Backup restore</x:v>
      </x:c>
      <x:c r="C19" s="26" t="str">
        <x:v>Restore tenant from old snapshot including revoked roles</x:v>
      </x:c>
      <x:c r="D19" s="26" t="str">
        <x:v>Reconciles current policy/hold/revocations before opening restored tenant.</x:v>
      </x:c>
      <x:c r="E19" s="26" t="str">
        <x:v>OPS,IAM,REC</x:v>
      </x:c>
      <x:c r="F19" s="26" t="str">
        <x:v>Not run</x:v>
      </x:c>
      <x:c r="G19" s="26" t="str"/>
    </x:row>
    <x:row r="20" ht="51" customHeight="1">
      <x:c r="A20" s="26" t="str">
        <x:v>T-16</x:v>
      </x:c>
      <x:c r="B20" s="26" t="str">
        <x:v>Localization</x:v>
      </x:c>
      <x:c r="C20" s="26" t="str">
        <x:v>Persian and Arabic RTL document sharing, approval and permission UI</x:v>
      </x:c>
      <x:c r="D20" s="26" t="str">
        <x:v>Native validation finds no reversed affordances/IDs; screen-reader correct.</x:v>
      </x:c>
      <x:c r="E20" s="26" t="str">
        <x:v>L10,UX</x:v>
      </x:c>
      <x:c r="F20" s="26" t="str">
        <x:v>Not run</x:v>
      </x:c>
      <x:c r="G20" s="26" t="str"/>
    </x:row>
    <x:row r="21" ht="51" customHeight="1">
      <x:c r="A21" s="26" t="str">
        <x:v>T-17</x:v>
      </x:c>
      <x:c r="B21" s="26" t="str">
        <x:v>Migration</x:v>
      </x:c>
      <x:c r="C21" s="26" t="str">
        <x:v>Import historic documents with mismatched identity and denied ACLs</x:v>
      </x:c>
      <x:c r="D21" s="26" t="str">
        <x:v>Dry run reports exceptions; no overly broad grants; provenance preserved.</x:v>
      </x:c>
      <x:c r="E21" s="26" t="str">
        <x:v>MIG,IAM</x:v>
      </x:c>
      <x:c r="F21" s="26" t="str">
        <x:v>Not run</x:v>
      </x:c>
      <x:c r="G21" s="26" t="str"/>
    </x:row>
    <x:row r="22" ht="51" customHeight="1">
      <x:c r="A22" s="26" t="str">
        <x:v>T-18</x:v>
      </x:c>
      <x:c r="B22" s="26" t="str">
        <x:v>Company separation</x:v>
      </x:c>
      <x:c r="C22" s="26" t="str">
        <x:v>Split one subsidiary into two while legal hold exists</x:v>
      </x:c>
      <x:c r="D22" s="26" t="str">
        <x:v>Approved custody, key rewrap, audit trail and retention remain valid.</x:v>
      </x:c>
      <x:c r="E22" s="26" t="str">
        <x:v>TEN,REC,ENC</x:v>
      </x:c>
      <x:c r="F22" s="26" t="str">
        <x:v>Not run</x:v>
      </x:c>
      <x:c r="G22" s="26" t="str"/>
    </x:row>
    <x:row r="23" ht="51" customHeight="1">
      <x:c r="A23" s="26" t="str">
        <x:v>T-19</x:v>
      </x:c>
      <x:c r="B23" s="26" t="str">
        <x:v>Cloud editor</x:v>
      </x:c>
      <x:c r="C23" s="26" t="str">
        <x:v>Attempt to open E2EE file in external online editor</x:v>
      </x:c>
      <x:c r="D23" s="26" t="str">
        <x:v>Blocked unless approved conversion and explicit authorized disclosure.</x:v>
      </x:c>
      <x:c r="E23" s="26" t="str">
        <x:v>COL,ENC,API</x:v>
      </x:c>
      <x:c r="F23" s="26" t="str">
        <x:v>Not run</x:v>
      </x:c>
      <x:c r="G23" s="26" t="str"/>
    </x:row>
    <x:row r="24" ht="51" customHeight="1">
      <x:c r="A24" s="26" t="str">
        <x:v>T-20</x:v>
      </x:c>
      <x:c r="B24" s="26" t="str">
        <x:v>Disaster recovery</x:v>
      </x:c>
      <x:c r="C24" s="26" t="str">
        <x:v>Simulate regional outage with KMS outage and independent logs</x:v>
      </x:c>
      <x:c r="D24" s="26" t="str">
        <x:v>System follows declared RTO/RPO without fail-open; keys/audit recover.</x:v>
      </x:c>
      <x:c r="E24" s="26" t="str">
        <x:v>OPS,ENC,RPT</x:v>
      </x:c>
      <x:c r="F24" s="26" t="str">
        <x:v>Not run</x:v>
      </x:c>
      <x:c r="G24" s="26" t="str"/>
    </x:row>
  </x:sheetData>
  <x:mergeCells>
    <x:mergeCell ref="A1:G2"/>
    <x:mergeCell ref="A3:G3"/>
  </x:mergeCells>
  <x:dataValidations count="1">
    <x:dataValidation type="list" sqref="F5:F24">
      <x:formula1>"Not run,Automated pass,Manual pass,Failed,Blocked"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91" hidden="0" customWidth="1"/>
    <x:col min="4" max="4" width="27" hidden="0" customWidth="1"/>
    <x:col min="5" max="5" width="20" hidden="0" customWidth="1"/>
  </x:cols>
  <x:sheetData>
    <x:row r="1" ht="23" customHeight="1">
      <x:c r="A1" s="4" t="str">
        <x:v>DESIGN CONFLICTS  |  KMS DELIVERY REVIEW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9" customHeight="1">
      <x:c r="A3" s="11" t="str">
        <x:v>Confidentiality trade-offs need explicit feature-mode behavior, consent and product disclosure rather than silent functionality fallback.</x:v>
      </x:c>
      <x:c r="B3" s="11"/>
      <x:c r="C3" s="11"/>
      <x:c r="D3" s="11"/>
      <x:c r="E3" s="11"/>
    </x:row>
    <x:row r="4" ht="28" customHeight="1">
      <x:c r="A4" s="19" t="str">
        <x:v>Conflict ID</x:v>
      </x:c>
      <x:c r="B4" s="19" t="str">
        <x:v>Incompatible expectations</x:v>
      </x:c>
      <x:c r="C4" s="19" t="str">
        <x:v>Required architecture / product trade-off</x:v>
      </x:c>
      <x:c r="D4" s="19" t="str">
        <x:v>Joint owners</x:v>
      </x:c>
      <x:c r="E4" s="19" t="str">
        <x:v>Decision status</x:v>
      </x:c>
    </x:row>
    <x:row r="5" ht="51" customHeight="1">
      <x:c r="A5" s="26" t="str">
        <x:v>CF-01</x:v>
      </x:c>
      <x:c r="B5" s="26" t="str">
        <x:v>Zero-Knowledge files vs server OCR/search/AI</x:v>
      </x:c>
      <x:c r="C5" s="26" t="str">
        <x:v>Use trusted-client processing; otherwise managed mode after explicit classification approval.</x:v>
      </x:c>
      <x:c r="D5" s="26" t="str">
        <x:v>R20 / R34 / R35</x:v>
      </x:c>
      <x:c r="E5" s="26" t="str">
        <x:v>Open</x:v>
      </x:c>
    </x:row>
    <x:row r="6" ht="51" customHeight="1">
      <x:c r="A6" s="26" t="str">
        <x:v>CF-02</x:v>
      </x:c>
      <x:c r="B6" s="26" t="str">
        <x:v>Zero-Knowledge malware inspection vs opaque ciphertext</x:v>
      </x:c>
      <x:c r="C6" s="26" t="str">
        <x:v>Admit reduced server assurance; client scan, device posture, staging/quarantine and policy restrictions.</x:v>
      </x:c>
      <x:c r="D6" s="26" t="str">
        <x:v>R19 / R32</x:v>
      </x:c>
      <x:c r="E6" s="26" t="str">
        <x:v>Open</x:v>
      </x:c>
    </x:row>
    <x:row r="7" ht="51" customHeight="1">
      <x:c r="A7" s="26" t="str">
        <x:v>CF-03</x:v>
      </x:c>
      <x:c r="B7" s="26" t="str">
        <x:v>Strong confidentiality vs forgotten keys</x:v>
      </x:c>
      <x:c r="C7" s="26" t="str">
        <x:v>Choose no recovery (permanent loss possible) or independently governed quorum recovery (extra access path).</x:v>
      </x:c>
      <x:c r="D7" s="26" t="str">
        <x:v>R20 / R26</x:v>
      </x:c>
      <x:c r="E7" s="26" t="str">
        <x:v>Open</x:v>
      </x:c>
    </x:row>
    <x:row r="8" ht="51" customHeight="1">
      <x:c r="A8" s="26" t="str">
        <x:v>CF-04</x:v>
      </x:c>
      <x:c r="B8" s="26" t="str">
        <x:v>Authorization revocation vs offline access</x:v>
      </x:c>
      <x:c r="C8" s="26" t="str">
        <x:v>Revoke future delivery; clearly disclose inability to erase previously copied plaintext or keys.</x:v>
      </x:c>
      <x:c r="D8" s="26" t="str">
        <x:v>R21 / R37</x:v>
      </x:c>
      <x:c r="E8" s="26" t="str">
        <x:v>Open</x:v>
      </x:c>
    </x:row>
    <x:row r="9" ht="51" customHeight="1">
      <x:c r="A9" s="26" t="str">
        <x:v>CF-05</x:v>
      </x:c>
      <x:c r="B9" s="26" t="str">
        <x:v>Group central oversight vs subsidiary confidentiality</x:v>
      </x:c>
      <x:c r="C9" s="26" t="str">
        <x:v>Keep control-plane and document-key permissions separate; aggregated group reporting.</x:v>
      </x:c>
      <x:c r="D9" s="26" t="str">
        <x:v>R02 / R21</x:v>
      </x:c>
      <x:c r="E9" s="26" t="str">
        <x:v>Open</x:v>
      </x:c>
    </x:row>
    <x:row r="10" ht="51" customHeight="1">
      <x:c r="A10" s="26" t="str">
        <x:v>CF-06</x:v>
      </x:c>
      <x:c r="B10" s="26" t="str">
        <x:v>Legal hold vs right to erasure / crypto erasure</x:v>
      </x:c>
      <x:c r="C10" s="26" t="str">
        <x:v>Apply jurisdiction-specific priority with recorded legal justification, review and execution gates.</x:v>
      </x:c>
      <x:c r="D10" s="26" t="str">
        <x:v>R12 / R13 / R14</x:v>
      </x:c>
      <x:c r="E10" s="26" t="str">
        <x:v>Open</x:v>
      </x:c>
    </x:row>
    <x:row r="11" ht="51" customHeight="1">
      <x:c r="A11" s="26" t="str">
        <x:v>CF-07</x:v>
      </x:c>
      <x:c r="B11" s="26" t="str">
        <x:v>E2EE vs court-directed eDiscovery</x:v>
      </x:c>
      <x:c r="C11" s="26" t="str">
        <x:v>Adopt legal custodian export or trustee recovery procedure; do not imply invisible server decryption.</x:v>
      </x:c>
      <x:c r="D11" s="26" t="str">
        <x:v>R13 / R20</x:v>
      </x:c>
      <x:c r="E11" s="26" t="str">
        <x:v>Open</x:v>
      </x:c>
    </x:row>
    <x:row r="12" ht="51" customHeight="1">
      <x:c r="A12" s="26" t="str">
        <x:v>CF-08</x:v>
      </x:c>
      <x:c r="B12" s="26" t="str">
        <x:v>Browser client E2EE vs compromised code delivery</x:v>
      </x:c>
      <x:c r="C12" s="26" t="str">
        <x:v>Use independently hosted signed client and verification; do not trust JavaScript supplied by WordPress.</x:v>
      </x:c>
      <x:c r="D12" s="26" t="str">
        <x:v>R20 / R37</x:v>
      </x:c>
      <x:c r="E12" s="26" t="str">
        <x:v>Open</x:v>
      </x:c>
    </x:row>
    <x:row r="13" ht="51" customHeight="1">
      <x:c r="A13" s="26" t="str">
        <x:v>CF-09</x:v>
      </x:c>
      <x:c r="B13" s="26" t="str">
        <x:v>Enterprise coauthoring vs E2EE</x:v>
      </x:c>
      <x:c r="C13" s="26" t="str">
        <x:v>Use locally trusted E2EE editing protocol or classify as managed collaboration; do not silently downgrade.</x:v>
      </x:c>
      <x:c r="D13" s="26" t="str">
        <x:v>R30 / R37</x:v>
      </x:c>
      <x:c r="E13" s="26" t="str">
        <x:v>Open</x:v>
      </x:c>
    </x:row>
    <x:row r="14" ht="51" customHeight="1">
      <x:c r="A14" s="26" t="str">
        <x:v>CF-10</x:v>
      </x:c>
      <x:c r="B14" s="26" t="str">
        <x:v>AI answers vs authorization changes</x:v>
      </x:c>
      <x:c r="C14" s="26" t="str">
        <x:v>Re-evaluate permissions per source and at answer time, purge embeddings and caches, constrain outputs.</x:v>
      </x:c>
      <x:c r="D14" s="26" t="str">
        <x:v>R35 / R21</x:v>
      </x:c>
      <x:c r="E14" s="26" t="str">
        <x:v>Open</x:v>
      </x:c>
    </x:row>
    <x:row r="15" ht="51" customHeight="1">
      <x:c r="A15" s="26" t="str">
        <x:v>CF-11</x:v>
      </x:c>
      <x:c r="B15" s="26" t="str">
        <x:v>Audit richness vs privacy and subsidiary secrecy</x:v>
      </x:c>
      <x:c r="C15" s="26" t="str">
        <x:v>Redact/minimize payloads; permission-tiered logs; independent integrity and retention.</x:v>
      </x:c>
      <x:c r="D15" s="26" t="str">
        <x:v>R27 / R14</x:v>
      </x:c>
      <x:c r="E15" s="26" t="str">
        <x:v>Open</x:v>
      </x:c>
    </x:row>
    <x:row r="16" ht="51" customHeight="1">
      <x:c r="A16" s="26" t="str">
        <x:v>CF-12</x:v>
      </x:c>
      <x:c r="B16" s="26" t="str">
        <x:v>Digital approval vs legal electronic signature</x:v>
      </x:c>
      <x:c r="C16" s="26" t="str">
        <x:v>Separate workflow acknowledgments from vendor-backed signature evidence and jurisdiction-specific requirements.</x:v>
      </x:c>
      <x:c r="D16" s="26" t="str">
        <x:v>R13 / R33</x:v>
      </x:c>
      <x:c r="E16" s="26" t="str">
        <x:v>Open</x:v>
      </x:c>
    </x:row>
    <x:row r="17" ht="51" customHeight="1">
      <x:c r="A17" s="26" t="str">
        <x:v>CF-13</x:v>
      </x:c>
      <x:c r="B17" s="26" t="str">
        <x:v>Third-party editor vs content confidentiality</x:v>
      </x:c>
      <x:c r="C17" s="26" t="str">
        <x:v>Vet data handling and prevent plaintext transfer of protected files to unapproved editors.</x:v>
      </x:c>
      <x:c r="D17" s="26" t="str">
        <x:v>R09 / R20</x:v>
      </x:c>
      <x:c r="E17" s="26" t="str">
        <x:v>Open</x:v>
      </x:c>
    </x:row>
    <x:row r="18" ht="51" customHeight="1">
      <x:c r="A18" s="26" t="str">
        <x:v>CF-14</x:v>
      </x:c>
      <x:c r="B18" s="26" t="str">
        <x:v>Public KB publishing vs hidden tenant content</x:v>
      </x:c>
      <x:c r="C18" s="26" t="str">
        <x:v>Use approved declassification with separate public projection and no anonymous backdoor queries.</x:v>
      </x:c>
      <x:c r="D18" s="26" t="str">
        <x:v>R15 / R19</x:v>
      </x:c>
      <x:c r="E18" s="26" t="str">
        <x:v>Open</x:v>
      </x:c>
    </x:row>
    <x:row r="19" ht="51" customHeight="1">
      <x:c r="A19" s="26" t="str">
        <x:v>CF-15</x:v>
      </x:c>
      <x:c r="B19" s="26" t="str">
        <x:v>Migration convenience vs verified historical entitlements</x:v>
      </x:c>
      <x:c r="C19" s="26" t="str">
        <x:v>Use signed dry-runs, least-privilege ACL mapping, dual approval and auditable exceptions.</x:v>
      </x:c>
      <x:c r="D19" s="26" t="str">
        <x:v>R42 / R21</x:v>
      </x:c>
      <x:c r="E19" s="26" t="str">
        <x:v>Open</x:v>
      </x:c>
    </x:row>
  </x:sheetData>
  <x:mergeCells>
    <x:mergeCell ref="A1:E2"/>
    <x:mergeCell ref="A3:E3"/>
  </x:mergeCells>
  <x:dataValidations count="1">
    <x:dataValidation type="list" sqref="E5:E19">
      <x:formula1>"Open,Decided,Mitigated,Accepted restriction"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1" hidden="0" customWidth="1"/>
    <x:col min="2" max="2" width="80" hidden="0" customWidth="1"/>
    <x:col min="3" max="3" width="98" hidden="0" customWidth="1"/>
  </x:cols>
  <x:sheetData>
    <x:row r="1" ht="23" customHeight="1">
      <x:c r="A1" s="4" t="str">
        <x:v>REFERENCES  |  KMS DELIVERY REVIEW</x:v>
      </x:c>
      <x:c r="B1" s="4"/>
      <x:c r="C1" s="4"/>
    </x:row>
    <x:row r="2" ht="23" customHeight="1">
      <x:c r="A2" s="4"/>
      <x:c r="B2" s="4"/>
      <x:c r="C2" s="4"/>
    </x:row>
    <x:row r="3" ht="29" customHeight="1">
      <x:c r="A3" s="11" t="str">
        <x:v>Authoritative design references. Jurisdictional laws and standard versioning require explicit legal/security review.</x:v>
      </x:c>
      <x:c r="B3" s="11"/>
      <x:c r="C3" s="11"/>
    </x:row>
    <x:row r="4" ht="28" customHeight="1">
      <x:c r="A4" s="19" t="str">
        <x:v>Reference</x:v>
      </x:c>
      <x:c r="B4" s="19" t="str">
        <x:v>Engineering use</x:v>
      </x:c>
      <x:c r="C4" s="19" t="str">
        <x:v>Official / primary-source URL</x:v>
      </x:c>
    </x:row>
    <x:row r="5" ht="51" customHeight="1">
      <x:c r="A5" s="26" t="str">
        <x:v>OWASP ASVS 5.0.0</x:v>
      </x:c>
      <x:c r="B5" s="26" t="str">
        <x:v>Application security verification criteria</x:v>
      </x:c>
      <x:c r="C5" s="26" t="str">
        <x:v>https://owasp.org/www-project-application-security-verification-standard/</x:v>
      </x:c>
    </x:row>
    <x:row r="6" ht="51" customHeight="1">
      <x:c r="A6" s="26" t="str">
        <x:v>OWASP Multi-Tenant Security Cheat Sheet</x:v>
      </x:c>
      <x:c r="B6" s="26" t="str">
        <x:v>Tenant boundaries across storage, cache, queues, logs and APIs</x:v>
      </x:c>
      <x:c r="C6" s="26" t="str">
        <x:v>https://cheatsheetseries.owasp.org/cheatsheets/Multi_Tenant_Security_Cheat_Sheet.html</x:v>
      </x:c>
    </x:row>
    <x:row r="7" ht="51" customHeight="1">
      <x:c r="A7" s="26" t="str">
        <x:v>OWASP Authorization Cheat Sheet</x:v>
      </x:c>
      <x:c r="B7" s="26" t="str">
        <x:v>Deny by default, least privilege, object authorization</x:v>
      </x:c>
      <x:c r="C7" s="26" t="str">
        <x:v>https://cheatsheetseries.owasp.org/cheatsheets/Authorization_Cheat_Sheet.html</x:v>
      </x:c>
    </x:row>
    <x:row r="8" ht="51" customHeight="1">
      <x:c r="A8" s="26" t="str">
        <x:v>OWASP Cryptographic Storage Cheat Sheet</x:v>
      </x:c>
      <x:c r="B8" s="26" t="str">
        <x:v>Key separation, authenticated encryption and key lifecycle</x:v>
      </x:c>
      <x:c r="C8" s="26" t="str">
        <x:v>https://cheatsheetseries.owasp.org/cheatsheets/Cryptographic_Storage_Cheat_Sheet.html</x:v>
      </x:c>
    </x:row>
    <x:row r="9" ht="51" customHeight="1">
      <x:c r="A9" s="26" t="str">
        <x:v>NIST SP 800-63-4 (Final, July 2025)</x:v>
      </x:c>
      <x:c r="B9" s="26" t="str">
        <x:v>Digital identity, authentication and federation</x:v>
      </x:c>
      <x:c r="C9" s="26" t="str">
        <x:v>https://csrc.nist.gov/pubs/sp/800/63/4/final</x:v>
      </x:c>
    </x:row>
    <x:row r="10" ht="51" customHeight="1">
      <x:c r="A10" s="26" t="str">
        <x:v>NIST SP 800-57 Part 1 Rev 5</x:v>
      </x:c>
      <x:c r="B10" s="26" t="str">
        <x:v>Cryptographic key management planning</x:v>
      </x:c>
      <x:c r="C10" s="26" t="str">
        <x:v>https://csrc.nist.gov/pubs/sp/800/57/pt1/r5/final</x:v>
      </x:c>
    </x:row>
    <x:row r="11" ht="51" customHeight="1">
      <x:c r="A11" s="26" t="str">
        <x:v>NIST SP 800-218 v1.1 (Final); v1.2 is draft as of Oct 2026</x:v>
      </x:c>
      <x:c r="B11" s="26" t="str">
        <x:v>Secure software development / supply chain</x:v>
      </x:c>
      <x:c r="C11" s="26" t="str">
        <x:v>https://csrc.nist.gov/projects/ssdf/publications</x:v>
      </x:c>
    </x:row>
    <x:row r="12" ht="51" customHeight="1">
      <x:c r="A12" s="26" t="str">
        <x:v>WordPress REST API Handbook</x:v>
      </x:c>
      <x:c r="B12" s="26" t="str">
        <x:v>Permission callback and endpoint security</x:v>
      </x:c>
      <x:c r="C12" s="26" t="str">
        <x:v>https://developer.wordpress.org/rest-api/extending-the-rest-api/adding-custom-endpoints/</x:v>
      </x:c>
    </x:row>
    <x:row r="13" ht="51" customHeight="1">
      <x:c r="A13" s="26" t="str">
        <x:v>WordPress Security Nonces Handbook</x:v>
      </x:c>
      <x:c r="B13" s="26" t="str">
        <x:v>Nonces are not authorization / identity</x:v>
      </x:c>
      <x:c r="C13" s="26" t="str">
        <x:v>https://developer.wordpress.org/apis/security/nonces/</x:v>
      </x:c>
    </x:row>
    <x:row r="14" ht="51" customHeight="1">
      <x:c r="A14" s="26" t="str">
        <x:v>W3C WCAG 2.2</x:v>
      </x:c>
      <x:c r="B14" s="26" t="str">
        <x:v>Accessibility acceptance benchmark</x:v>
      </x:c>
      <x:c r="C14" s="26" t="str">
        <x:v>https://www.w3.org/TR/WCAG22/</x:v>
      </x:c>
    </x:row>
    <x:row r="15" ht="51" customHeight="1">
      <x:c r="A15" s="26" t="str">
        <x:v>ISO 15489-1:2016</x:v>
      </x:c>
      <x:c r="B15" s="26" t="str">
        <x:v>Records governance principles</x:v>
      </x:c>
      <x:c r="C15" s="26" t="str">
        <x:v>https://www.iso.org/standard/62542.html</x:v>
      </x:c>
    </x:row>
    <x:row r="16" ht="51" customHeight="1">
      <x:c r="A16" s="26" t="str">
        <x:v>UK ICO Right to Erasure</x:v>
      </x:c>
      <x:c r="B16" s="26" t="str">
        <x:v>Lawful erasure may have applicable exceptions; determine jurisdiction</x:v>
      </x:c>
      <x:c r="C16" s="26" t="str">
        <x:v>https://ico.org.uk/for-organisations/uk-gdpr-guidance-and-resources/individual-rights/individual-rights/right-to-erasure/</x:v>
      </x:c>
    </x:row>
    <x:row r="17" ht="51" customHeight="1">
      <x:c r="A17" s="26" t="str">
        <x:v>Mozilla, Trustworthy JavaScript for the Open Web (2026)</x:v>
      </x:c>
      <x:c r="B17" s="26" t="str">
        <x:v>Server-supplied JavaScript integrity and E2EE delivery limitation</x:v>
      </x:c>
      <x:c r="C17" s="26" t="str">
        <x:v>https://hacks.mozilla.org/2026/05/trustworthy-javascript-for-the-open-web/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6" hidden="0" customWidth="1"/>
    <x:col min="3" max="3" width="20" hidden="0" customWidth="1"/>
    <x:col min="4" max="4" width="35" hidden="0" customWidth="1"/>
    <x:col min="5" max="5" width="14" hidden="0" customWidth="1"/>
    <x:col min="6" max="6" width="2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4" customHeight="1">
      <x:c r="A1" s="31" t="str">
        <x:v>ENTERPRISE KMS  |  DELIVERY GOVERNANCE SNAPSHOT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24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 ht="25" customHeight="1">
      <x:c r="A3" s="10" t="str">
        <x:v>Companion to the existing 346-feature blueprint. Editable role assignments, traceability, risks, architectural decisions, module review and go-live evidence.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5" ht="27" customHeight="1">
      <x:c r="A5" s="35" t="str">
        <x:v>Implementation hats</x:v>
      </x:c>
      <x:c r="B5" s="39" t="n">
        <x:f>COUNTA('Team Roles'!A5:A48)</x:f>
        <x:v>44</x:v>
      </x:c>
      <x:c r="D5" s="42" t="str">
        <x:v>Risk profile</x:v>
      </x:c>
      <x:c r="E5" s="42" t="str">
        <x:v>Count</x:v>
      </x:c>
    </x:row>
    <x:row r="6" ht="25" customHeight="1">
      <x:c r="A6" s="35" t="str">
        <x:v>Operational personas</x:v>
      </x:c>
      <x:c r="B6" s="39" t="n">
        <x:f>COUNTA('Operational Roles'!A5:A30)</x:f>
        <x:v>26</x:v>
      </x:c>
      <x:c r="D6" s="44" t="str">
        <x:v>Blocker</x:v>
      </x:c>
      <x:c r="E6" s="44" t="n">
        <x:f>COUNTIF('Risk Register'!B5:B39,D6)</x:f>
        <x:v>12</x:v>
      </x:c>
    </x:row>
    <x:row r="7" ht="25" customHeight="1">
      <x:c r="A7" s="35" t="str">
        <x:v>Feature IDs</x:v>
      </x:c>
      <x:c r="B7" s="39" t="n">
        <x:f>COUNTA('Feature Traceability'!A5:A350)</x:f>
        <x:v>346</x:v>
      </x:c>
      <x:c r="D7" s="44" t="str">
        <x:v>High</x:v>
      </x:c>
      <x:c r="E7" s="44" t="n">
        <x:f>COUNTIF('Risk Register'!B5:B39,D7)</x:f>
        <x:v>21</x:v>
      </x:c>
    </x:row>
    <x:row r="8" ht="25" customHeight="1">
      <x:c r="A8" s="35" t="str">
        <x:v>Feature modules</x:v>
      </x:c>
      <x:c r="B8" s="39" t="n">
        <x:f>COUNTA('Module Ownership'!A5:A26)</x:f>
        <x:v>22</x:v>
      </x:c>
      <x:c r="D8" s="44" t="str">
        <x:v>Medium</x:v>
      </x:c>
      <x:c r="E8" s="44" t="n">
        <x:f>COUNTIF('Risk Register'!B5:B39,D8)</x:f>
        <x:v>2</x:v>
      </x:c>
    </x:row>
    <x:row r="9" ht="29" customHeight="1">
      <x:c r="A9" s="35" t="str">
        <x:v>Tracked risks</x:v>
      </x:c>
      <x:c r="B9" s="39" t="n">
        <x:f>COUNTA('Risk Register'!A5:A39)</x:f>
        <x:v>35</x:v>
      </x:c>
    </x:row>
    <x:row r="10" ht="29" customHeight="1">
      <x:c r="A10" s="35" t="str">
        <x:v>Architecture decisions</x:v>
      </x:c>
      <x:c r="B10" s="39" t="n">
        <x:f>COUNTA('Architecture Decisions'!A5:A26)</x:f>
        <x:v>22</x:v>
      </x:c>
    </x:row>
    <x:row r="11" ht="27" customHeight="1">
      <x:c r="A11" s="35" t="str">
        <x:v>Release evidence gates</x:v>
      </x:c>
      <x:c r="B11" s="39" t="n">
        <x:f>COUNTA('Release Gates'!A5:A13)</x:f>
        <x:v>9</x:v>
      </x:c>
      <x:c r="D11" s="42" t="str">
        <x:v>Requirement delivery state</x:v>
      </x:c>
      <x:c r="E11" s="42" t="str">
        <x:v>Count</x:v>
      </x:c>
    </x:row>
    <x:row r="12" ht="26" customHeight="1">
      <x:c r="A12" s="35" t="str">
        <x:v>Security scenarios</x:v>
      </x:c>
      <x:c r="B12" s="39" t="n">
        <x:f>COUNTA('Acceptance Scenarios'!A5:A24)</x:f>
        <x:v>20</x:v>
      </x:c>
      <x:c r="D12" s="44" t="str">
        <x:v>Not started</x:v>
      </x:c>
      <x:c r="E12" s="44" t="n">
        <x:f>COUNTIF('Feature Traceability'!J5:J350,D12)</x:f>
        <x:v>346</x:v>
      </x:c>
    </x:row>
    <x:row r="13" ht="26" customHeight="1">
      <x:c r="D13" s="44" t="str">
        <x:v>In design</x:v>
      </x:c>
      <x:c r="E13" s="44" t="n">
        <x:f>COUNTIF('Feature Traceability'!J5:J350,D13)</x:f>
        <x:v>0</x:v>
      </x:c>
    </x:row>
    <x:row r="14" ht="26" customHeight="1">
      <x:c r="D14" s="44" t="str">
        <x:v>In development</x:v>
      </x:c>
      <x:c r="E14" s="44" t="n">
        <x:f>COUNTIF('Feature Traceability'!J5:J350,D14)</x:f>
        <x:v>0</x:v>
      </x:c>
    </x:row>
    <x:row r="15" ht="25" customHeight="1">
      <x:c r="A15" s="46" t="str">
        <x:v>RELEASE RULES</x:v>
      </x:c>
      <x:c r="B15" s="46"/>
      <x:c r="C15" s="46"/>
      <x:c r="D15" s="44" t="str">
        <x:v>In test</x:v>
      </x:c>
      <x:c r="E15" s="44" t="n">
        <x:f>COUNTIF('Feature Traceability'!J5:J350,D15)</x:f>
        <x:v>0</x:v>
      </x:c>
    </x:row>
    <x:row r="16" ht="32" customHeight="1">
      <x:c r="A16" s="10" t="str">
        <x:v>No WordPress admin automatically receives decryption privileges.</x:v>
      </x:c>
      <x:c r="B16" s="10"/>
      <x:c r="C16" s="10"/>
      <x:c r="D16" s="44" t="str">
        <x:v>Accepted</x:v>
      </x:c>
      <x:c r="E16" s="44" t="n">
        <x:f>COUNTIF('Feature Traceability'!J5:J350,D16)</x:f>
        <x:v>0</x:v>
      </x:c>
    </x:row>
    <x:row r="17" ht="32" customHeight="1">
      <x:c r="A17" s="49" t="str">
        <x:v>Zero-Knowledge does not imply server-side OCR, full-text AI, or malware scanning.</x:v>
      </x:c>
      <x:c r="B17" s="49"/>
      <x:c r="C17" s="49"/>
    </x:row>
    <x:row r="18" ht="32" customHeight="1">
      <x:c r="A18" s="10" t="str">
        <x:v>A lost private key may be unrecoverable unless trustees are deliberately configured.</x:v>
      </x:c>
      <x:c r="B18" s="10"/>
      <x:c r="C18" s="10"/>
    </x:row>
    <x:row r="19" ht="32" customHeight="1">
      <x:c r="A19" s="49" t="str">
        <x:v>Blocker findings require independent verification before production go-live.</x:v>
      </x:c>
      <x:c r="B19" s="49"/>
      <x:c r="C19" s="49"/>
    </x:row>
    <x:row r="20" ht="32" customHeight="1">
      <x:c r="A20" s="10" t="str">
        <x:v>Priority promotions are conditional: adopt per jurisdiction and threat model.</x:v>
      </x:c>
      <x:c r="B20" s="10"/>
      <x:c r="C20" s="10"/>
    </x:row>
    <x:row r="23" ht="36" customHeight="1">
      <x:c r="A23" s="53" t="str">
        <x:v>WORKFLOW:  Assign team owners → resolve decisions → update 346 feature statuses → execute acceptance tests → close risks → sign release gates.</x:v>
      </x:c>
      <x:c r="B23" s="53"/>
      <x:c r="C23" s="53"/>
      <x:c r="D23" s="53"/>
      <x:c r="E23" s="53"/>
      <x:c r="F23" s="53"/>
    </x:row>
  </x:sheetData>
  <x:mergeCells>
    <x:mergeCell ref="A1:N2"/>
    <x:mergeCell ref="A3:N3"/>
    <x:mergeCell ref="A15:C15"/>
    <x:mergeCell ref="A16:C16"/>
    <x:mergeCell ref="A17:C17"/>
    <x:mergeCell ref="A18:C18"/>
    <x:mergeCell ref="A19:C19"/>
    <x:mergeCell ref="A20:C20"/>
    <x:mergeCell ref="A23:F23"/>
  </x:mergeCells>
  <x:pageMargins left="0.7" right="0.7" top="0.75" bottom="0.75" header="0.3" footer="0.3"/>
  <x:drawing xmlns:r="http://schemas.openxmlformats.org/officeDocument/2006/relationships" r:id="R29fbaa7528ce41a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78" hidden="0" customWidth="1"/>
    <x:col min="3" max="3" width="91" hidden="0" customWidth="1"/>
    <x:col min="4" max="4" width="67" hidden="0" customWidth="1"/>
    <x:col min="5" max="5" width="23" hidden="0" customWidth="1"/>
  </x:cols>
  <x:sheetData>
    <x:row r="1" ht="23" customHeight="1">
      <x:c r="A1" s="4" t="str">
        <x:v>MODE COMPATIBILITY  |  KMS DELIVERY REVIEW</x:v>
      </x:c>
      <x:c r="B1" s="4"/>
      <x:c r="C1" s="4"/>
      <x:c r="D1" s="4"/>
      <x:c r="E1" s="4"/>
    </x:row>
    <x:row r="2" ht="23" customHeight="1">
      <x:c r="A2" s="4"/>
      <x:c r="B2" s="4"/>
      <x:c r="C2" s="4"/>
      <x:c r="D2" s="4"/>
      <x:c r="E2" s="4"/>
    </x:row>
    <x:row r="3" ht="29" customHeight="1">
      <x:c r="A3" s="11" t="str">
        <x:v>Two security modes have different permissible processing and guarantees. Product UX must communicate compatibility and prevent silent security downgrade.</x:v>
      </x:c>
      <x:c r="B3" s="11"/>
      <x:c r="C3" s="11"/>
      <x:c r="D3" s="11"/>
      <x:c r="E3" s="11"/>
    </x:row>
    <x:row r="4" ht="28" customHeight="1">
      <x:c r="A4" s="19" t="str">
        <x:v>Capability</x:v>
      </x:c>
      <x:c r="B4" s="19" t="str">
        <x:v>Managed Secure Mode</x:v>
      </x:c>
      <x:c r="C4" s="19" t="str">
        <x:v>Zero-Knowledge Mode</x:v>
      </x:c>
      <x:c r="D4" s="19" t="str">
        <x:v>Implementation constraint</x:v>
      </x:c>
      <x:c r="E4" s="19" t="str">
        <x:v>Linked feature IDs</x:v>
      </x:c>
    </x:row>
    <x:row r="5" ht="51" customHeight="1">
      <x:c r="A5" s="26" t="str">
        <x:v>File upload / versioning</x:v>
      </x:c>
      <x:c r="B5" s="26" t="str">
        <x:v>Available; service encrypts objects with external KMS</x:v>
      </x:c>
      <x:c r="C5" s="26" t="str">
        <x:v>Available; trusted client encrypts before upload</x:v>
      </x:c>
      <x:c r="D5" s="26" t="str">
        <x:v>Verified document version and per-version key</x:v>
      </x:c>
      <x:c r="E5" s="26" t="str">
        <x:v>DOC-01, ENC-03</x:v>
      </x:c>
    </x:row>
    <x:row r="6" ht="51" customHeight="1">
      <x:c r="A6" s="26" t="str">
        <x:v>Previews and thumbnails</x:v>
      </x:c>
      <x:c r="B6" s="26" t="str">
        <x:v>Sandboxed conversion with controlled temporary plaintext</x:v>
      </x:c>
      <x:c r="C6" s="26" t="str">
        <x:v>Only trusted client local rendering, no WordPress-served plaintext</x:v>
      </x:c>
      <x:c r="D6" s="26" t="str">
        <x:v>Malicious file parser and derivative confidentiality</x:v>
      </x:c>
      <x:c r="E6" s="26" t="str">
        <x:v>DOC-21, SEC-05, ENC-17</x:v>
      </x:c>
    </x:row>
    <x:row r="7" ht="51" customHeight="1">
      <x:c r="A7" s="26" t="str">
        <x:v>Content OCR</x:v>
      </x:c>
      <x:c r="B7" s="26" t="str">
        <x:v>Isolated server worker allowed by policy</x:v>
      </x:c>
      <x:c r="C7" s="26" t="str">
        <x:v>Only trusted-client-side OCR or explicitly disclosed declassification</x:v>
      </x:c>
      <x:c r="D7" s="26" t="str">
        <x:v>CPU/device limits, extracted text confidentiality</x:v>
      </x:c>
      <x:c r="E7" s="26" t="str">
        <x:v>MET-08, ENC-14</x:v>
      </x:c>
    </x:row>
    <x:row r="8" ht="51" customHeight="1">
      <x:c r="A8" s="26" t="str">
        <x:v>Full-text search</x:v>
      </x:c>
      <x:c r="B8" s="26" t="str">
        <x:v>Permission-trimmed protected server index</x:v>
      </x:c>
      <x:c r="C8" s="26" t="str">
        <x:v>Trusted-client local/private index; no ordinary server plaintext index</x:v>
      </x:c>
      <x:c r="D8" s="26" t="str">
        <x:v>Encrypted metadata and authorization at search time</x:v>
      </x:c>
      <x:c r="E8" s="26" t="str">
        <x:v>MET-06, MET-07</x:v>
      </x:c>
    </x:row>
    <x:row r="9" ht="51" customHeight="1">
      <x:c r="A9" s="26" t="str">
        <x:v>Metadata and filenames</x:v>
      </x:c>
      <x:c r="B9" s="26" t="str">
        <x:v>Encrypted storage with designated searchable fields</x:v>
      </x:c>
      <x:c r="C9" s="26" t="str">
        <x:v>Encrypt sensitive fields; explicitly document minimum metadata leakage</x:v>
      </x:c>
      <x:c r="D9" s="26" t="str">
        <x:v>Search existence or timing side channels</x:v>
      </x:c>
      <x:c r="E9" s="26" t="str">
        <x:v>ENC-14, MET-01</x:v>
      </x:c>
    </x:row>
    <x:row r="10" ht="51" customHeight="1">
      <x:c r="A10" s="26" t="str">
        <x:v>Virus/malware inspection</x:v>
      </x:c>
      <x:c r="B10" s="26" t="str">
        <x:v>Pre-publication server sandbox scanner</x:v>
      </x:c>
      <x:c r="C10" s="26" t="str">
        <x:v>Client checks and policy quarantine; not equivalent to server scan</x:v>
      </x:c>
      <x:c r="D10" s="26" t="str">
        <x:v>Residual risk warning, device posture</x:v>
      </x:c>
      <x:c r="E10" s="26" t="str">
        <x:v>SEC-04</x:v>
      </x:c>
    </x:row>
    <x:row r="11" ht="51" customHeight="1">
      <x:c r="A11" s="26" t="str">
        <x:v>Data-loss prevention</x:v>
      </x:c>
      <x:c r="B11" s="26" t="str">
        <x:v>Server + policy enforcement on content and exports</x:v>
      </x:c>
      <x:c r="C11" s="26" t="str">
        <x:v>Client-local rules and metadata limits; cannot guarantee remote enforcement</x:v>
      </x:c>
      <x:c r="D11" s="26" t="str">
        <x:v>Screen capture and prior exports remain out of reach</x:v>
      </x:c>
      <x:c r="E11" s="26" t="str">
        <x:v>SEC-02, SEC-03</x:v>
      </x:c>
    </x:row>
    <x:row r="12" ht="51" customHeight="1">
      <x:c r="A12" s="26" t="str">
        <x:v>AI summaries / Q&amp;A</x:v>
      </x:c>
      <x:c r="B12" s="26" t="str">
        <x:v>Optional policy-trimmed service; reviewed provider</x:v>
      </x:c>
      <x:c r="C12" s="26" t="str">
        <x:v>Not by ordinary server; local trusted client/model only if independently reviewed</x:v>
      </x:c>
      <x:c r="D12" s="26" t="str">
        <x:v>Prompts, embeddings, citations and model retention</x:v>
      </x:c>
      <x:c r="E12" s="26" t="str">
        <x:v>AIX-02, AIX-03, AIX-16</x:v>
      </x:c>
    </x:row>
    <x:row r="13" ht="51" customHeight="1">
      <x:c r="A13" s="26" t="str">
        <x:v>Semantic vector search</x:v>
      </x:c>
      <x:c r="B13" s="26" t="str">
        <x:v>Secured index, re-authorize every retrieved item</x:v>
      </x:c>
      <x:c r="C13" s="26" t="str">
        <x:v>Trusted-client model/index only or explicitly approved leakage-risk protocol</x:v>
      </x:c>
      <x:c r="D13" s="26" t="str">
        <x:v>Vector reconstruction and revoked-source purge</x:v>
      </x:c>
      <x:c r="E13" s="26" t="str">
        <x:v>AIX-04, IAM-17</x:v>
      </x:c>
    </x:row>
    <x:row r="14" ht="51" customHeight="1">
      <x:c r="A14" s="26" t="str">
        <x:v>Editing and coauthoring</x:v>
      </x:c>
      <x:c r="B14" s="26" t="str">
        <x:v>Approved cloud editors with contracts</x:v>
      </x:c>
      <x:c r="C14" s="26" t="str">
        <x:v>Only reviewed E2EE-aware editor/protocol</x:v>
      </x:c>
      <x:c r="D14" s="26" t="str">
        <x:v>No silent switch to managed mode</x:v>
      </x:c>
      <x:c r="E14" s="26" t="str">
        <x:v>COL-05, COL-06</x:v>
      </x:c>
    </x:row>
    <x:row r="15" ht="51" customHeight="1">
      <x:c r="A15" s="26" t="str">
        <x:v>Annotations and comments</x:v>
      </x:c>
      <x:c r="B15" s="26" t="str">
        <x:v>Protected service data subject to ACLs</x:v>
      </x:c>
      <x:c r="C15" s="26" t="str">
        <x:v>Encrypt client-side, recipient-access keys</x:v>
      </x:c>
      <x:c r="D15" s="26" t="str">
        <x:v>Do not leak through activity notifications</x:v>
      </x:c>
      <x:c r="E15" s="26" t="str">
        <x:v>COL-07, ENC-14</x:v>
      </x:c>
    </x:row>
    <x:row r="16" ht="51" customHeight="1">
      <x:c r="A16" s="26" t="str">
        <x:v>Approval workflow</x:v>
      </x:c>
      <x:c r="B16" s="26" t="str">
        <x:v>Server can verify hashes + route; no universal plaintext required</x:v>
      </x:c>
      <x:c r="C16" s="26" t="str">
        <x:v>Server routes hashes/ACLs; client signs/countersigns without uploading plaintext</x:v>
      </x:c>
      <x:c r="D16" s="26" t="str">
        <x:v>Signature and attestation legality separate</x:v>
      </x:c>
      <x:c r="E16" s="26" t="str">
        <x:v>WFL-07, COL-14</x:v>
      </x:c>
    </x:row>
    <x:row r="17" ht="51" customHeight="1">
      <x:c r="A17" s="26" t="str">
        <x:v>Digital legal signatures</x:v>
      </x:c>
      <x:c r="B17" s="26" t="str">
        <x:v>Approved external eSignature vendor as legally required</x:v>
      </x:c>
      <x:c r="C17" s="26" t="str">
        <x:v>Trusted client or explicit disclosed transfer with consent</x:v>
      </x:c>
      <x:c r="D17" s="26" t="str">
        <x:v>Jurisdiction-specific evidence requirements</x:v>
      </x:c>
      <x:c r="E17" s="26" t="str">
        <x:v>WFL-14</x:v>
      </x:c>
    </x:row>
    <x:row r="18" ht="51" customHeight="1">
      <x:c r="A18" s="26" t="str">
        <x:v>External and cross-tenant shares</x:v>
      </x:c>
      <x:c r="B18" s="26" t="str">
        <x:v>Recipient identity, scoped service grants and expiration</x:v>
      </x:c>
      <x:c r="C18" s="26" t="str">
        <x:v>Client-verified recipient public key + rewrapping</x:v>
      </x:c>
      <x:c r="D18" s="26" t="str">
        <x:v>Origin permission, guest identity and key authenticity</x:v>
      </x:c>
      <x:c r="E18" s="26" t="str">
        <x:v>EXT-04, ENC-09</x:v>
      </x:c>
    </x:row>
    <x:row r="19" ht="51" customHeight="1">
      <x:c r="A19" s="26" t="str">
        <x:v>Data rooms</x:v>
      </x:c>
      <x:c r="B19" s="26" t="str">
        <x:v>Service-managed data room with granular roles</x:v>
      </x:c>
      <x:c r="C19" s="26" t="str">
        <x:v>Trusted client data room for selected E2EE docs</x:v>
      </x:c>
      <x:c r="D19" s="26" t="str">
        <x:v>Two-bidder isolation, forensic logging</x:v>
      </x:c>
      <x:c r="E19" s="26" t="str">
        <x:v>EXT-03</x:v>
      </x:c>
    </x:row>
    <x:row r="20" ht="51" customHeight="1">
      <x:c r="A20" s="26" t="str">
        <x:v>Legal holds / retention</x:v>
      </x:c>
      <x:c r="B20" s="26" t="str">
        <x:v>Service immutability and retention engine</x:v>
      </x:c>
      <x:c r="C20" s="26" t="str">
        <x:v>Hold ciphertext and wrap keys; discovery requires authorized client/trustee</x:v>
      </x:c>
      <x:c r="D20" s="26" t="str">
        <x:v>Prevent accidental crypto-erasure of held content</x:v>
      </x:c>
      <x:c r="E20" s="26" t="str">
        <x:v>REC-05, ENC-18</x:v>
      </x:c>
    </x:row>
    <x:row r="21" ht="51" customHeight="1">
      <x:c r="A21" s="26" t="str">
        <x:v>Legal discovery exports</x:v>
      </x:c>
      <x:c r="B21" s="26" t="str">
        <x:v>Counsel-approved auditable service export</x:v>
      </x:c>
      <x:c r="C21" s="26" t="str">
        <x:v>Custodian client export / trustee governance if allowed</x:v>
      </x:c>
      <x:c r="D21" s="26" t="str">
        <x:v>Chain of custody and justified access</x:v>
      </x:c>
      <x:c r="E21" s="26" t="str">
        <x:v>REC-13</x:v>
      </x:c>
    </x:row>
    <x:row r="22" ht="51" customHeight="1">
      <x:c r="A22" s="26" t="str">
        <x:v>Key backup and recovery</x:v>
      </x:c>
      <x:c r="B22" s="26" t="str">
        <x:v>KMS/HSM separation with recoverable KEKs</x:v>
      </x:c>
      <x:c r="C22" s="26" t="str">
        <x:v>Trustee-quorum or no recovery, explicitly labeled</x:v>
      </x:c>
      <x:c r="D22" s="26" t="str">
        <x:v>Cannot simultaneously promise no recovery and enterprise escrow</x:v>
      </x:c>
      <x:c r="E22" s="26" t="str">
        <x:v>ENC-12</x:v>
      </x:c>
    </x:row>
    <x:row r="23" ht="51" customHeight="1">
      <x:c r="A23" s="26" t="str">
        <x:v>Revocation</x:v>
      </x:c>
      <x:c r="B23" s="26" t="str">
        <x:v>Deny future token/API access and optionally protected re-encryption</x:v>
      </x:c>
      <x:c r="C23" s="26" t="str">
        <x:v>Stop future distribution; rekey future versions; prior downloaded files persist</x:v>
      </x:c>
      <x:c r="D23" s="26" t="str">
        <x:v>No impossible remote deletion guarantee</x:v>
      </x:c>
      <x:c r="E23" s="26" t="str">
        <x:v>ENC-11, IAM-17</x:v>
      </x:c>
    </x:row>
    <x:row r="24" ht="51" customHeight="1">
      <x:c r="A24" s="26" t="str">
        <x:v>Mobile / offline</x:v>
      </x:c>
      <x:c r="B24" s="26" t="str">
        <x:v>Encrypted device cache, token expiry, remote best-effort wipe</x:v>
      </x:c>
      <x:c r="C24" s="26" t="str">
        <x:v>Hardware-backed keys where possible and signed trusted app</x:v>
      </x:c>
      <x:c r="D24" s="26" t="str">
        <x:v>Revocation cannot remove previously offline plaintext</x:v>
      </x:c>
      <x:c r="E24" s="26" t="str">
        <x:v>MOB-04, MOB-06</x:v>
      </x:c>
    </x:row>
    <x:row r="25" ht="51" customHeight="1">
      <x:c r="A25" s="26" t="str">
        <x:v>Backups / restore</x:v>
      </x:c>
      <x:c r="B25" s="26" t="str">
        <x:v>Encrypt, restore data + keys + permissions + evidence</x:v>
      </x:c>
      <x:c r="C25" s="26" t="str">
        <x:v>Back up ciphertext; separately protect trustees/key recovery material</x:v>
      </x:c>
      <x:c r="D25" s="26" t="str">
        <x:v>Protect residency and current access state after restore</x:v>
      </x:c>
      <x:c r="E25" s="26" t="str">
        <x:v>OPS-06, ENC-12</x:v>
      </x:c>
    </x:row>
    <x:row r="26" ht="51" customHeight="1">
      <x:c r="A26" s="26" t="str">
        <x:v>Support diagnostics</x:v>
      </x:c>
      <x:c r="B26" s="26" t="str">
        <x:v>Sanitized operational diagnostics; temporary privileged access reviewed</x:v>
      </x:c>
      <x:c r="C26" s="26" t="str">
        <x:v>Ciphertext-only support; no plaintext from WordPress</x:v>
      </x:c>
      <x:c r="D26" s="26" t="str">
        <x:v>No privileged impersonation without approvals</x:v>
      </x:c>
      <x:c r="E26" s="26" t="str">
        <x:v>OPS-17, ENC-17</x:v>
      </x:c>
    </x:row>
    <x:row r="27" ht="51" customHeight="1">
      <x:c r="A27" s="26" t="str">
        <x:v>Analytics and activity dashboards</x:v>
      </x:c>
      <x:c r="B27" s="26" t="str">
        <x:v>Role-filtered events with limited content fields</x:v>
      </x:c>
      <x:c r="C27" s="26" t="str">
        <x:v>Ciphertext-safe event metadata; do not infer secret titles</x:v>
      </x:c>
      <x:c r="D27" s="26" t="str">
        <x:v>Confidentiality of small tenant aggregates</x:v>
      </x:c>
      <x:c r="E27" s="26" t="str">
        <x:v>RPT-06, RPT-10</x:v>
      </x:c>
    </x:row>
  </x:sheetData>
  <x:mergeCells>
    <x:mergeCell ref="A1:E2"/>
    <x:mergeCell ref="A3:E3"/>
  </x:mergeCells>
  <x:pageMargins left="0.7" right="0.7" top="0.75" bottom="0.75" header="0.3" footer="0.3"/>
</x:worksheet>
</file>